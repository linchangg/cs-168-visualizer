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A24" sheetId="2" state="visible" r:id="rId4"/>
    <sheet name="SP24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<sst xmlns="http://schemas.openxmlformats.org/spreadsheetml/2006/main" count="842" uniqueCount="435">
  <si>
    <t xml:space="preserve">CS 168 Visualizer — Test Coverage Improvement</t>
  </si>
  <si>
    <t xml:space="preserve">Methodology</t>
  </si>
  <si>
    <t xml:space="preserve">Took FA24 + SP24 finals using ONLY the visualizer's text content. Marked each question 'Correct' if a fresh agent could answer from on-page content, or 'Wrong' if the agent had to fall back to general training knowledge. Then identified gaps, rewrote visualizer (v2), and re-tested.</t>
  </si>
  <si>
    <t xml:space="preserve">Exam</t>
  </si>
  <si>
    <t xml:space="preserve">Total Q's</t>
  </si>
  <si>
    <t xml:space="preserve">v1 correct</t>
  </si>
  <si>
    <t xml:space="preserve">v1 %</t>
  </si>
  <si>
    <t xml:space="preserve">v2 correct</t>
  </si>
  <si>
    <t xml:space="preserve">v2 %</t>
  </si>
  <si>
    <t xml:space="preserve">Improvement</t>
  </si>
  <si>
    <t xml:space="preserve">FA24 Final</t>
  </si>
  <si>
    <t xml:space="preserve">SP24 Final</t>
  </si>
  <si>
    <t xml:space="preserve">COMBINED</t>
  </si>
  <si>
    <t xml:space="preserve">Legend</t>
  </si>
  <si>
    <t xml:space="preserve">✓ Correct</t>
  </si>
  <si>
    <t xml:space="preserve">Question answerable from visualizer content alone</t>
  </si>
  <si>
    <t xml:space="preserve">✗ Wrong</t>
  </si>
  <si>
    <t xml:space="preserve">Question NOT answerable from visualizer alone — required external knowledge</t>
  </si>
  <si>
    <t xml:space="preserve">Question</t>
  </si>
  <si>
    <t xml:space="preserve">Question Text</t>
  </si>
  <si>
    <t xml:space="preserve">v1 (before)</t>
  </si>
  <si>
    <t xml:space="preserve">v2 (after)</t>
  </si>
  <si>
    <t xml:space="preserve">Notes</t>
  </si>
  <si>
    <t xml:space="preserve">Q1 — Quick Questions</t>
  </si>
  <si>
    <t xml:space="preserve">Q1.1</t>
  </si>
  <si>
    <t xml:space="preserve">HTTP requires servers to send the exact correct error code (T/F)</t>
  </si>
  <si>
    <t xml:space="preserve">v2: added explicit callout</t>
  </si>
  <si>
    <t xml:space="preserve">Q1.2</t>
  </si>
  <si>
    <t xml:space="preserve">Both active close and passive close require sending FIN (T/F)</t>
  </si>
  <si>
    <t xml:space="preserve">v2: TCP Recap covers FIN both ways</t>
  </si>
  <si>
    <t xml:space="preserve">Q1.3</t>
  </si>
  <si>
    <t xml:space="preserve">Set RWND too large (snd.wnd) — what issue?</t>
  </si>
  <si>
    <t xml:space="preserve">v2: RWND direction semantics</t>
  </si>
  <si>
    <t xml:space="preserve">Q1.4</t>
  </si>
  <si>
    <t xml:space="preserve">Report large RWND to other side — what issue?</t>
  </si>
  <si>
    <t xml:space="preserve">Q1.5</t>
  </si>
  <si>
    <t xml:space="preserve">Private cache only when single client multiple times (T/F)</t>
  </si>
  <si>
    <t xml:space="preserve">v2: cache when-each-helps</t>
  </si>
  <si>
    <t xml:space="preserve">Q1.6</t>
  </si>
  <si>
    <t xml:space="preserve">Proxy cache only when single client multiple times (T/F)</t>
  </si>
  <si>
    <t xml:space="preserve">Q1.7</t>
  </si>
  <si>
    <t xml:space="preserve">TLS header is part of TCP payload (T/F)</t>
  </si>
  <si>
    <t xml:space="preserve">covered in v1 TLS section</t>
  </si>
  <si>
    <t xml:space="preserve">Q1.8</t>
  </si>
  <si>
    <t xml:space="preserve">App-level mapping always identifies single closest CDN (T/F)</t>
  </si>
  <si>
    <t xml:space="preserve">v1 HTTP CDN section</t>
  </si>
  <si>
    <t xml:space="preserve">Q1.9</t>
  </si>
  <si>
    <t xml:space="preserve">Host net: checksum &amp; fragmentation offloaded to hardware (T/F)</t>
  </si>
  <si>
    <t xml:space="preserve">v2: 'What gets offloaded'</t>
  </si>
  <si>
    <t xml:space="preserve">Q1.10</t>
  </si>
  <si>
    <t xml:space="preserve">Offloading for performance not correctness (T/F)</t>
  </si>
  <si>
    <t xml:space="preserve">v2: explicit 'why offload'</t>
  </si>
  <si>
    <t xml:space="preserve">Q1.11</t>
  </si>
  <si>
    <t xml:space="preserve">RDMA WQE → NIC must process immediately (T/F)</t>
  </si>
  <si>
    <t xml:space="preserve">v2: WQE/CQE queue model</t>
  </si>
  <si>
    <t xml:space="preserve">Q1.12</t>
  </si>
  <si>
    <t xml:space="preserve">RDMA CQE → OS must process immediately (T/F)</t>
  </si>
  <si>
    <t xml:space="preserve">Q1.13</t>
  </si>
  <si>
    <t xml:space="preserve">SDN: routers no longer need data plane (T/F)</t>
  </si>
  <si>
    <t xml:space="preserve">v1 SDN section</t>
  </si>
  <si>
    <t xml:space="preserve">Q1.14</t>
  </si>
  <si>
    <t xml:space="preserve">SDN: routers no longer need control plane (T/F)</t>
  </si>
  <si>
    <t xml:space="preserve">Q1.15</t>
  </si>
  <si>
    <t xml:space="preserve">Cellular: two devices can have same IMEI (T/F)</t>
  </si>
  <si>
    <t xml:space="preserve">v2: IMEI definition</t>
  </si>
  <si>
    <t xml:space="preserve">Q1.16</t>
  </si>
  <si>
    <t xml:space="preserve">GatherReduce: which topologies satisfy efficiency constraint</t>
  </si>
  <si>
    <t xml:space="preserve">collective ops reasoning</t>
  </si>
  <si>
    <t xml:space="preserve">Q1.17</t>
  </si>
  <si>
    <t xml:space="preserve">Which topology fastest</t>
  </si>
  <si>
    <t xml:space="preserve">fully meshed wins</t>
  </si>
  <si>
    <t xml:space="preserve">Q2 — TCP Congestion Control</t>
  </si>
  <si>
    <t xml:space="preserve">Q2.1</t>
  </si>
  <si>
    <t xml:space="preserve">Mode immediately after handshake</t>
  </si>
  <si>
    <t xml:space="preserve">v2: TCP state machine</t>
  </si>
  <si>
    <t xml:space="preserve">Q2.2</t>
  </si>
  <si>
    <t xml:space="preserve">CWND after 3 in-order acks in slow start (start=1)</t>
  </si>
  <si>
    <t xml:space="preserve">v2: SS dynamics</t>
  </si>
  <si>
    <t xml:space="preserve">Q2.3</t>
  </si>
  <si>
    <t xml:space="preserve">Infinite BW no losses — what happens long-term</t>
  </si>
  <si>
    <t xml:space="preserve">v2: CA dynamics</t>
  </si>
  <si>
    <t xml:space="preserve">Q2.4</t>
  </si>
  <si>
    <t xml:space="preserve">Drop only #66 — switch to which mode</t>
  </si>
  <si>
    <t xml:space="preserve">v2: 3 dup acks → FR</t>
  </si>
  <si>
    <t xml:space="preserve">Q2.5</t>
  </si>
  <si>
    <t xml:space="preserve">CWND right before exiting CA</t>
  </si>
  <si>
    <t xml:space="preserve">v2: +1/CWND linear, worked example</t>
  </si>
  <si>
    <t xml:space="preserve">Q2.6</t>
  </si>
  <si>
    <t xml:space="preserve">CWND right after exiting CA</t>
  </si>
  <si>
    <t xml:space="preserve">v2: +3 fast recovery credit</t>
  </si>
  <si>
    <t xml:space="preserve">Q2.7</t>
  </si>
  <si>
    <t xml:space="preserve">Which ack lets us leave Fast Recovery</t>
  </si>
  <si>
    <t xml:space="preserve">v2: 'any new ack &gt; dup'</t>
  </si>
  <si>
    <t xml:space="preserve">Q2.8</t>
  </si>
  <si>
    <t xml:space="preserve">Stop receiving acks — switch to which mode</t>
  </si>
  <si>
    <t xml:space="preserve">v2: timeout → SS</t>
  </si>
  <si>
    <t xml:space="preserve">Q2.9</t>
  </si>
  <si>
    <t xml:space="preserve">CWND after timeout</t>
  </si>
  <si>
    <t xml:space="preserve">v2: CWND=1 reset</t>
  </si>
  <si>
    <t xml:space="preserve">Q2.10</t>
  </si>
  <si>
    <t xml:space="preserve">Packet sent after timeout</t>
  </si>
  <si>
    <t xml:space="preserve">v2: retransmit first unacked</t>
  </si>
  <si>
    <t xml:space="preserve">Q2.11</t>
  </si>
  <si>
    <t xml:space="preserve">CA mode, ack #412, CWND=4 — packets sent</t>
  </si>
  <si>
    <t xml:space="preserve">v2: CA increment math</t>
  </si>
  <si>
    <t xml:space="preserve">Q2.12</t>
  </si>
  <si>
    <t xml:space="preserve">Slow Start, ack #412, CWND=4 — packets sent</t>
  </si>
  <si>
    <t xml:space="preserve">v2: SS increment math</t>
  </si>
  <si>
    <t xml:space="preserve">Q3 — TCP Performance</t>
  </si>
  <si>
    <t xml:space="preserve">Q3.1</t>
  </si>
  <si>
    <t xml:space="preserve">p=0.25 both, RTT differs — relate S1, S2</t>
  </si>
  <si>
    <t xml:space="preserve">v2: throughput equation</t>
  </si>
  <si>
    <t xml:space="preserve">Q3.2</t>
  </si>
  <si>
    <t xml:space="preserve">MTU 3000 origin only — relate S1, S2</t>
  </si>
  <si>
    <t xml:space="preserve">Q3.3</t>
  </si>
  <si>
    <t xml:space="preserve">p1=0.04, p2=0.25 — relate S1, S2</t>
  </si>
  <si>
    <t xml:space="preserve">Q3.4</t>
  </si>
  <si>
    <t xml:space="preserve">Find p1 that makes S1=S2</t>
  </si>
  <si>
    <t xml:space="preserve">Q3.5</t>
  </si>
  <si>
    <t xml:space="preserve">Origin always faster — CDN advantages?</t>
  </si>
  <si>
    <t xml:space="preserve">v1 HTTP CDN benefits</t>
  </si>
  <si>
    <t xml:space="preserve">Q3.6</t>
  </si>
  <si>
    <t xml:space="preserve">Why anycast issue with CDN?</t>
  </si>
  <si>
    <t xml:space="preserve">v1 HTTP anycast caveat</t>
  </si>
  <si>
    <t xml:space="preserve">Q4 — DNS</t>
  </si>
  <si>
    <t xml:space="preserve">Q4.1</t>
  </si>
  <si>
    <t xml:space="preserve">Protocol that helps host learn DNS resolver IP</t>
  </si>
  <si>
    <t xml:space="preserve">v1 DHCP</t>
  </si>
  <si>
    <t xml:space="preserve">Q4.2</t>
  </si>
  <si>
    <t xml:space="preserve">DNS packets for full lookup, caches empty</t>
  </si>
  <si>
    <t xml:space="preserve">v1 DNS recursive walk</t>
  </si>
  <si>
    <t xml:space="preserve">Q4.3</t>
  </si>
  <si>
    <t xml:space="preserve">DNS packets after partial cache</t>
  </si>
  <si>
    <t xml:space="preserve">v1 DNS</t>
  </si>
  <si>
    <t xml:space="preserve">Q4.4</t>
  </si>
  <si>
    <t xml:space="preserve">Records cached after both queries (NS+A glue)</t>
  </si>
  <si>
    <t xml:space="preserve">v2: NS+A glue counting</t>
  </si>
  <si>
    <t xml:space="preserve">Q4.5</t>
  </si>
  <si>
    <t xml:space="preserve">If host has IPv4 + IPv6, change record count?</t>
  </si>
  <si>
    <t xml:space="preserve">v1 lists AAAA</t>
  </si>
  <si>
    <t xml:space="preserve">Q4.6</t>
  </si>
  <si>
    <t xml:space="preserve">Which servers can give A record for classes.berkeley.edu</t>
  </si>
  <si>
    <t xml:space="preserve">v1 zone hierarchy</t>
  </si>
  <si>
    <t xml:space="preserve">Q4.7</t>
  </si>
  <si>
    <t xml:space="preserve">2 IPs for .edu means must NOT use anycast (T/F)</t>
  </si>
  <si>
    <t xml:space="preserve">v1 anycast root servers</t>
  </si>
  <si>
    <t xml:space="preserve">Q4.8</t>
  </si>
  <si>
    <t xml:space="preserve">Single IP must use anycast (T/F)</t>
  </si>
  <si>
    <t xml:space="preserve">logical contrapositive</t>
  </si>
  <si>
    <t xml:space="preserve">Q5 — End-to-End</t>
  </si>
  <si>
    <t xml:space="preserve">Q5.1</t>
  </si>
  <si>
    <t xml:space="preserve">DHCP Offer contents</t>
  </si>
  <si>
    <t xml:space="preserve">v1 DHCP DORA</t>
  </si>
  <si>
    <t xml:space="preserve">Q5.2</t>
  </si>
  <si>
    <t xml:space="preserve">Fields A knows for HTTP req to C</t>
  </si>
  <si>
    <t xml:space="preserve">v1 e2e walkthrough</t>
  </si>
  <si>
    <t xml:space="preserve">Q5.3</t>
  </si>
  <si>
    <t xml:space="preserve">Protocols A still needs</t>
  </si>
  <si>
    <t xml:space="preserve">Q5.4</t>
  </si>
  <si>
    <t xml:space="preserve">Who can deduce A↔C are talking</t>
  </si>
  <si>
    <t xml:space="preserve">v1 shared media</t>
  </si>
  <si>
    <t xml:space="preserve">Q5.5</t>
  </si>
  <si>
    <t xml:space="preserve">ARP entries in A's cache</t>
  </si>
  <si>
    <t xml:space="preserve">v1 ARP non-local</t>
  </si>
  <si>
    <t xml:space="preserve">Q5.6</t>
  </si>
  <si>
    <t xml:space="preserve">Same IP after rejoining (T/F)</t>
  </si>
  <si>
    <t xml:space="preserve">Q5.7</t>
  </si>
  <si>
    <t xml:space="preserve">NAT translate DNS request?</t>
  </si>
  <si>
    <t xml:space="preserve">v1 NAT</t>
  </si>
  <si>
    <t xml:space="preserve">Q5.8</t>
  </si>
  <si>
    <t xml:space="preserve">Additional steps host A does with NAT enabled</t>
  </si>
  <si>
    <t xml:space="preserve">v1 NAT transparency</t>
  </si>
  <si>
    <t xml:space="preserve">Q5.9</t>
  </si>
  <si>
    <t xml:space="preserve">With NAT, who can deduce A↔C</t>
  </si>
  <si>
    <t xml:space="preserve">v1 NAT visibility</t>
  </si>
  <si>
    <t xml:space="preserve">Q6 — Datacenters</t>
  </si>
  <si>
    <t xml:space="preserve">Q6.1</t>
  </si>
  <si>
    <t xml:space="preserve">Advantages Fat-tree Clos vs Fat-tree</t>
  </si>
  <si>
    <t xml:space="preserve">v2: explicit comparison table</t>
  </si>
  <si>
    <t xml:space="preserve">Q6.2</t>
  </si>
  <si>
    <t xml:space="preserve">ECMP split single TCP across paths?</t>
  </si>
  <si>
    <t xml:space="preserve">v1 ECMP</t>
  </si>
  <si>
    <t xml:space="preserve">Q6.3</t>
  </si>
  <si>
    <t xml:space="preserve">Disadvantage of splitting flow</t>
  </si>
  <si>
    <t xml:space="preserve">v1 reordering</t>
  </si>
  <si>
    <t xml:space="preserve">Q6.4</t>
  </si>
  <si>
    <t xml:space="preserve">Header field for path ID</t>
  </si>
  <si>
    <t xml:space="preserve">v2: IPv6 flow label</t>
  </si>
  <si>
    <t xml:space="preserve">Q6.5</t>
  </si>
  <si>
    <t xml:space="preserve">Headers in underlay packet</t>
  </si>
  <si>
    <t xml:space="preserve">v1 encapsulation</t>
  </si>
  <si>
    <t xml:space="preserve">Q6.6</t>
  </si>
  <si>
    <t xml:space="preserve">Modified ECMP — always same next hop?</t>
  </si>
  <si>
    <t xml:space="preserve">v1 ECMP hash logic</t>
  </si>
  <si>
    <t xml:space="preserve">Q6.7</t>
  </si>
  <si>
    <t xml:space="preserve">Host detect congestion (no ECN) — how?</t>
  </si>
  <si>
    <t xml:space="preserve">v1 + general TCP</t>
  </si>
  <si>
    <t xml:space="preserve">Q7 — Multicast</t>
  </si>
  <si>
    <t xml:space="preserve">Q7.1</t>
  </si>
  <si>
    <t xml:space="preserve">S→R2: R2 forwards or drops</t>
  </si>
  <si>
    <t xml:space="preserve">v2: RPF tracing pattern</t>
  </si>
  <si>
    <t xml:space="preserve">Q7.2</t>
  </si>
  <si>
    <t xml:space="preserve">S→R1: R1 forwards or drops</t>
  </si>
  <si>
    <t xml:space="preserve">v1 DVMRP</t>
  </si>
  <si>
    <t xml:space="preserve">Q7.3</t>
  </si>
  <si>
    <t xml:space="preserve">DVMRP path S to T</t>
  </si>
  <si>
    <t xml:space="preserve">Q7.4</t>
  </si>
  <si>
    <t xml:space="preserve">CBT: routers on tree after S, T join</t>
  </si>
  <si>
    <t xml:space="preserve">v1 CBT</t>
  </si>
  <si>
    <t xml:space="preserve">Q7.5</t>
  </si>
  <si>
    <t xml:space="preserve">CBT path S to T</t>
  </si>
  <si>
    <t xml:space="preserve">Q8 — Wireless</t>
  </si>
  <si>
    <t xml:space="preserve">Q8.1</t>
  </si>
  <si>
    <t xml:space="preserve">After RTS/CTS, who can transmit</t>
  </si>
  <si>
    <t xml:space="preserve">v1 MACA</t>
  </si>
  <si>
    <t xml:space="preserve">Q8.2</t>
  </si>
  <si>
    <t xml:space="preserve">Two simultaneous RTS to B — what happens</t>
  </si>
  <si>
    <t xml:space="preserve">v2: MACA edge cases</t>
  </si>
  <si>
    <t xml:space="preserve">Q8.3</t>
  </si>
  <si>
    <t xml:space="preserve">B in A's range hears CTS — what does B do</t>
  </si>
  <si>
    <t xml:space="preserve">v1 MACA quiet semantics</t>
  </si>
  <si>
    <t xml:space="preserve">Q8.4</t>
  </si>
  <si>
    <t xml:space="preserve">Can A and C transmit data simultaneously</t>
  </si>
  <si>
    <t xml:space="preserve">Q8.5</t>
  </si>
  <si>
    <t xml:space="preserve">CTS dropped — C's contention window</t>
  </si>
  <si>
    <t xml:space="preserve">v1 + general</t>
  </si>
  <si>
    <t xml:space="preserve">Q9 — Cellular</t>
  </si>
  <si>
    <t xml:space="preserve">Q9.1</t>
  </si>
  <si>
    <t xml:space="preserve">Step where user receives IMSI</t>
  </si>
  <si>
    <t xml:space="preserve">v2: 5-step model</t>
  </si>
  <si>
    <t xml:space="preserve">Q9.2</t>
  </si>
  <si>
    <t xml:space="preserve">Cellular core uses distance-vector?</t>
  </si>
  <si>
    <t xml:space="preserve">v2: tunnel-based core</t>
  </si>
  <si>
    <t xml:space="preserve">Q9.3</t>
  </si>
  <si>
    <t xml:space="preserve">Stolen IMSI detected at which step</t>
  </si>
  <si>
    <t xml:space="preserve">v2: Attachment auth</t>
  </si>
  <si>
    <t xml:space="preserve">Q9.4</t>
  </si>
  <si>
    <t xml:space="preserve">Phone picks next tower (network or device?)</t>
  </si>
  <si>
    <t xml:space="preserve">v2: handover network-decided</t>
  </si>
  <si>
    <t xml:space="preserve">Q9.5</t>
  </si>
  <si>
    <t xml:space="preserve">MM deletes/installs tunneled path</t>
  </si>
  <si>
    <t xml:space="preserve">v2: handover semantics</t>
  </si>
  <si>
    <t xml:space="preserve">Q10 — Midterm STP Clobber</t>
  </si>
  <si>
    <t xml:space="preserve">Q10.1</t>
  </si>
  <si>
    <t xml:space="preserve">How many links disabled</t>
  </si>
  <si>
    <t xml:space="preserve">v1 STP</t>
  </si>
  <si>
    <t xml:space="preserve">Q10.2</t>
  </si>
  <si>
    <t xml:space="preserve">Routers that disable a link</t>
  </si>
  <si>
    <t xml:space="preserve">Q10.3</t>
  </si>
  <si>
    <t xml:space="preserve">First BPDU R4 announces</t>
  </si>
  <si>
    <t xml:space="preserve">Q10.4</t>
  </si>
  <si>
    <t xml:space="preserve">After convergence — R4's view</t>
  </si>
  <si>
    <t xml:space="preserve">Q10.5</t>
  </si>
  <si>
    <t xml:space="preserve">C→A packet trace (learning switches)</t>
  </si>
  <si>
    <t xml:space="preserve">v1 learning switches</t>
  </si>
  <si>
    <t xml:space="preserve">Q10.6</t>
  </si>
  <si>
    <t xml:space="preserve">A→C packet trace</t>
  </si>
  <si>
    <t xml:space="preserve">Q10.7</t>
  </si>
  <si>
    <t xml:space="preserve">B→A packet trace</t>
  </si>
  <si>
    <t xml:space="preserve">TOTALS</t>
  </si>
  <si>
    <t xml:space="preserve">Questions correct (in-content)</t>
  </si>
  <si>
    <t xml:space="preserve">Questions wrong (miss-risk)</t>
  </si>
  <si>
    <t xml:space="preserve">Total questions</t>
  </si>
  <si>
    <t xml:space="preserve">% in-content</t>
  </si>
  <si>
    <t xml:space="preserve">Q2 — True/False</t>
  </si>
  <si>
    <t xml:space="preserve">Transport is layer 3 (T/F)</t>
  </si>
  <si>
    <t xml:space="preserve">v1 Overview</t>
  </si>
  <si>
    <t xml:space="preserve">TCP header is outermost on TCP packets (T/F)</t>
  </si>
  <si>
    <t xml:space="preserve">v1 layering</t>
  </si>
  <si>
    <t xml:space="preserve">Routers never fragment IPv6 packets (T/F)</t>
  </si>
  <si>
    <t xml:space="preserve">v2: TCP Recap IPv6</t>
  </si>
  <si>
    <t xml:space="preserve">AIAD is unfair (T/F)</t>
  </si>
  <si>
    <t xml:space="preserve">v2: AIMD vs AIAD table</t>
  </si>
  <si>
    <t xml:space="preserve">UDP never uses checksum (T/F)</t>
  </si>
  <si>
    <t xml:space="preserve">v2: UDP details</t>
  </si>
  <si>
    <t xml:space="preserve">DNS typically runs over UDP (T/F)</t>
  </si>
  <si>
    <t xml:space="preserve">DHCP typically runs over UDP (T/F)</t>
  </si>
  <si>
    <t xml:space="preserve">v2: DHCP TLDR</t>
  </si>
  <si>
    <t xml:space="preserve">ARP typically runs over UDP (T/F)</t>
  </si>
  <si>
    <t xml:space="preserve">v2: ARP TLDR clarified L2</t>
  </si>
  <si>
    <t xml:space="preserve">ARP requests typically broadcast (T/F)</t>
  </si>
  <si>
    <t xml:space="preserve">v1 ARP</t>
  </si>
  <si>
    <t xml:space="preserve">ARP responses typically broadcast (T/F)</t>
  </si>
  <si>
    <t xml:space="preserve">v1 ARP unicast reply</t>
  </si>
  <si>
    <t xml:space="preserve">TCP ACK-flag packets cannot carry payload (T/F)</t>
  </si>
  <si>
    <t xml:space="preserve">v2: TCP flags</t>
  </si>
  <si>
    <t xml:space="preserve">DNS MX = name of authoritative server (T/F)</t>
  </si>
  <si>
    <t xml:space="preserve">v1 DNS records</t>
  </si>
  <si>
    <t xml:space="preserve">Q2.13</t>
  </si>
  <si>
    <t xml:space="preserve">All TCP packets except SYN have ACK flag (T/F)</t>
  </si>
  <si>
    <t xml:space="preserve">Q3 — MCQ</t>
  </si>
  <si>
    <t xml:space="preserve">Propagation delay properties</t>
  </si>
  <si>
    <t xml:space="preserve">covered tangentially; clearer in v2</t>
  </si>
  <si>
    <t xml:space="preserve">1Gbps vs driving 25mph for 45mi w/ 1TB</t>
  </si>
  <si>
    <t xml:space="preserve">arithmetic</t>
  </si>
  <si>
    <t xml:space="preserve">Provided by both UDP and TCP</t>
  </si>
  <si>
    <t xml:space="preserve">v2: TCP Recap UDP</t>
  </si>
  <si>
    <t xml:space="preserve">Where host sends initial DNS request</t>
  </si>
  <si>
    <t xml:space="preserve">End-to-end principle agreement</t>
  </si>
  <si>
    <t xml:space="preserve">v2: e2e principle aside</t>
  </si>
  <si>
    <t xml:space="preserve">Traceroute uses which protocol</t>
  </si>
  <si>
    <t xml:space="preserve">v2: TCP Recap Traceroute</t>
  </si>
  <si>
    <t xml:space="preserve">Q3.7</t>
  </si>
  <si>
    <t xml:space="preserve">True of SDN</t>
  </si>
  <si>
    <t xml:space="preserve">v1 SDN</t>
  </si>
  <si>
    <t xml:space="preserve">Q4 — Network Virtualization</t>
  </si>
  <si>
    <t xml:space="preserve">Abstraction provided to customer</t>
  </si>
  <si>
    <t xml:space="preserve">v1 DC virt</t>
  </si>
  <si>
    <t xml:space="preserve">Can give Dr Pepper requested address space?</t>
  </si>
  <si>
    <t xml:space="preserve">v1 tenant isolation</t>
  </si>
  <si>
    <t xml:space="preserve">Coke initiate connections to Internet?</t>
  </si>
  <si>
    <t xml:space="preserve">v1 NAT/private addr</t>
  </si>
  <si>
    <t xml:space="preserve">What SDN programs into server</t>
  </si>
  <si>
    <t xml:space="preserve">v1 SDN match-action</t>
  </si>
  <si>
    <t xml:space="preserve">Same IP, same server?</t>
  </si>
  <si>
    <t xml:space="preserve">v1 SDN tenant disambig</t>
  </si>
  <si>
    <t xml:space="preserve">Underlay routers change as VMs move?</t>
  </si>
  <si>
    <t xml:space="preserve">v1 locator/identifier</t>
  </si>
  <si>
    <t xml:space="preserve">Headers on link between routers</t>
  </si>
  <si>
    <t xml:space="preserve">Q5 — Host Networking</t>
  </si>
  <si>
    <t xml:space="preserve">Why RDMA?</t>
  </si>
  <si>
    <t xml:space="preserve">v1 RDMA</t>
  </si>
  <si>
    <t xml:space="preserve">Q5.2a</t>
  </si>
  <si>
    <t xml:space="preserve">Loss as good signal for filling-buffer goal?</t>
  </si>
  <si>
    <t xml:space="preserve">v2: BDP &amp; queueing</t>
  </si>
  <si>
    <t xml:space="preserve">Q5.2b</t>
  </si>
  <si>
    <t xml:space="preserve">Single sender, ECN at 1/2 BDP — can mark in 1st BDP?</t>
  </si>
  <si>
    <t xml:space="preserve">v2: BDP intuition</t>
  </si>
  <si>
    <t xml:space="preserve">Q5.2c</t>
  </si>
  <si>
    <t xml:space="preserve">100us extra delay — single hop or multi?</t>
  </si>
  <si>
    <t xml:space="preserve">v2: queue size math</t>
  </si>
  <si>
    <t xml:space="preserve">Q5.2d</t>
  </si>
  <si>
    <t xml:space="preserve">Receive rate &lt; send rate — RTT change?</t>
  </si>
  <si>
    <t xml:space="preserve">v1 + intuition</t>
  </si>
  <si>
    <t xml:space="preserve">Q5.3a</t>
  </si>
  <si>
    <t xml:space="preserve">Estimate RTT before sending in DC?</t>
  </si>
  <si>
    <t xml:space="preserve">v1 DC consistency</t>
  </si>
  <si>
    <t xml:space="preserve">Q5.3b</t>
  </si>
  <si>
    <t xml:space="preserve">RTT increase due to congestion in DC?</t>
  </si>
  <si>
    <t xml:space="preserve">v1 DC dominance</t>
  </si>
  <si>
    <t xml:space="preserve">Why delay-based CC bad in WAN?</t>
  </si>
  <si>
    <t xml:space="preserve">v1 WAN variability</t>
  </si>
  <si>
    <t xml:space="preserve">CC enforce 5Gbps cap?</t>
  </si>
  <si>
    <t xml:space="preserve">v2: rate enforcement</t>
  </si>
  <si>
    <t xml:space="preserve">Enforce 1/4 of link share — how?</t>
  </si>
  <si>
    <t xml:space="preserve">v2: QoS/priorities</t>
  </si>
  <si>
    <t xml:space="preserve">Q5.7a</t>
  </si>
  <si>
    <t xml:space="preserve">Timing wheel: A's next packet timestamp</t>
  </si>
  <si>
    <t xml:space="preserve">v2: timing wheels</t>
  </si>
  <si>
    <t xml:space="preserve">Q5.7b</t>
  </si>
  <si>
    <t xml:space="preserve">Timing wheel: B's next packet timestamp</t>
  </si>
  <si>
    <t xml:space="preserve">Q5.7c</t>
  </si>
  <si>
    <t xml:space="preserve">Timing wheel: which goes next</t>
  </si>
  <si>
    <t xml:space="preserve">Q5.7d</t>
  </si>
  <si>
    <t xml:space="preserve">Max rate supported by timing wheel</t>
  </si>
  <si>
    <t xml:space="preserve">Q5.7e</t>
  </si>
  <si>
    <t xml:space="preserve">Min rate supported by timing wheel</t>
  </si>
  <si>
    <t xml:space="preserve">Q6.1a</t>
  </si>
  <si>
    <t xml:space="preserve">Bisection bandwidth value</t>
  </si>
  <si>
    <t xml:space="preserve">v2: bisection math</t>
  </si>
  <si>
    <t xml:space="preserve">Q6.1b</t>
  </si>
  <si>
    <t xml:space="preserve">Full bisection bandwidth value</t>
  </si>
  <si>
    <t xml:space="preserve">v2: full bisection math</t>
  </si>
  <si>
    <t xml:space="preserve">Q6.1c</t>
  </si>
  <si>
    <t xml:space="preserve">Oversubscription ratio value</t>
  </si>
  <si>
    <t xml:space="preserve">v2: oversubscription def</t>
  </si>
  <si>
    <t xml:space="preserve">Q6.2a</t>
  </si>
  <si>
    <t xml:space="preserve">Best-case ECMP rates per host</t>
  </si>
  <si>
    <t xml:space="preserve">v2: ECMP placement</t>
  </si>
  <si>
    <t xml:space="preserve">Q6.2b</t>
  </si>
  <si>
    <t xml:space="preserve">Worst-case ECMP — change rates?</t>
  </si>
  <si>
    <t xml:space="preserve">Q6.2c</t>
  </si>
  <si>
    <t xml:space="preserve">Mitigate congestion — how?</t>
  </si>
  <si>
    <t xml:space="preserve">v1 ECMP + flow label v2</t>
  </si>
  <si>
    <t xml:space="preserve">Adding R5-R4, R6-R4 — achieves goal?</t>
  </si>
  <si>
    <t xml:space="preserve">v1 fat-tree intuition</t>
  </si>
  <si>
    <t xml:space="preserve">Major problem ignoring oversubscription</t>
  </si>
  <si>
    <t xml:space="preserve">v1 fault tolerance</t>
  </si>
  <si>
    <t xml:space="preserve">Q7 — Wireless (Shakey)</t>
  </si>
  <si>
    <t xml:space="preserve">CSMA only — node always reach receiver w/o collision?</t>
  </si>
  <si>
    <t xml:space="preserve">v1 hidden terminal</t>
  </si>
  <si>
    <t xml:space="preserve">Hidden terminal which receivers (CSMA)</t>
  </si>
  <si>
    <t xml:space="preserve">specific topology — diagram-bound</t>
  </si>
  <si>
    <t xml:space="preserve">Exposed terminal which receivers (CSMA)</t>
  </si>
  <si>
    <t xml:space="preserve">RTS/CTS prevents all collisions?</t>
  </si>
  <si>
    <t xml:space="preserve">v1 MACA limits</t>
  </si>
  <si>
    <t xml:space="preserve">Hidden terminal in MACA</t>
  </si>
  <si>
    <t xml:space="preserve">v1 + v2 edge cases</t>
  </si>
  <si>
    <t xml:space="preserve">Q7.6</t>
  </si>
  <si>
    <t xml:space="preserve">Exposed terminal in MACA</t>
  </si>
  <si>
    <t xml:space="preserve">Q7.7</t>
  </si>
  <si>
    <t xml:space="preserve">Standard backoff scheme — fair?</t>
  </si>
  <si>
    <t xml:space="preserve">v2: fairness analysis</t>
  </si>
  <si>
    <t xml:space="preserve">Q7.8</t>
  </si>
  <si>
    <t xml:space="preserve">Modified backoff (CW-1 on success) — fair?</t>
  </si>
  <si>
    <t xml:space="preserve">Q8 — Traffic Engineering</t>
  </si>
  <si>
    <t xml:space="preserve">Path DC1→DC4 with least-cost</t>
  </si>
  <si>
    <t xml:space="preserve">v2: TE section</t>
  </si>
  <si>
    <t xml:space="preserve">Workloads — congestion under least-cost?</t>
  </si>
  <si>
    <t xml:space="preserve">v1 + v2 TE</t>
  </si>
  <si>
    <t xml:space="preserve">Q8.3a</t>
  </si>
  <si>
    <t xml:space="preserve">Workload 1 best path with capacity</t>
  </si>
  <si>
    <t xml:space="preserve">v2: capacity-aware routing</t>
  </si>
  <si>
    <t xml:space="preserve">Q8.3b</t>
  </si>
  <si>
    <t xml:space="preserve">Workload 2 best path with capacity</t>
  </si>
  <si>
    <t xml:space="preserve">Where add TE header?</t>
  </si>
  <si>
    <t xml:space="preserve">v2: TE header placement</t>
  </si>
  <si>
    <t xml:space="preserve">Latency-sensitive workload — placed best?</t>
  </si>
  <si>
    <t xml:space="preserve">v2: TE &amp; latency</t>
  </si>
  <si>
    <t xml:space="preserve">Q8.6a</t>
  </si>
  <si>
    <t xml:space="preserve">Round-robin per-packet split — problem?</t>
  </si>
  <si>
    <t xml:space="preserve">Q8.6b</t>
  </si>
  <si>
    <t xml:space="preserve">Better split alternative</t>
  </si>
  <si>
    <t xml:space="preserve">v2: per-flow split</t>
  </si>
  <si>
    <t xml:space="preserve">Top design goal of cellular</t>
  </si>
  <si>
    <t xml:space="preserve">v2: mobility</t>
  </si>
  <si>
    <t xml:space="preserve">Connect to which tower (signal strength)</t>
  </si>
  <si>
    <t xml:space="preserve">Who decides attachment</t>
  </si>
  <si>
    <t xml:space="preserve">v2: Mobility Manager</t>
  </si>
  <si>
    <t xml:space="preserve">Order events for connection + Zoom</t>
  </si>
  <si>
    <t xml:space="preserve">Match entities to handover diagram letters</t>
  </si>
  <si>
    <t xml:space="preserve">v2: handover diagram</t>
  </si>
  <si>
    <t xml:space="preserve">Q9.6</t>
  </si>
  <si>
    <t xml:space="preserve">Roaming on Verizon — which events</t>
  </si>
  <si>
    <t xml:space="preserve">v2: roaming section</t>
  </si>
  <si>
    <t xml:space="preserve">Q10 — Routing</t>
  </si>
  <si>
    <t xml:space="preserve">Link-state with stale info — D→F path</t>
  </si>
  <si>
    <t xml:space="preserve">v2: stale LSA framework</t>
  </si>
  <si>
    <t xml:space="preserve">DV poisoned reverse — which graphs CTI</t>
  </si>
  <si>
    <t xml:space="preserve">v2: 2-node fix only</t>
  </si>
  <si>
    <t xml:space="preserve">Q10.3a</t>
  </si>
  <si>
    <t xml:space="preserve">DV mystery — smallest d</t>
  </si>
  <si>
    <t xml:space="preserve">v2: worked example</t>
  </si>
  <si>
    <t xml:space="preserve">Q10.3b</t>
  </si>
  <si>
    <t xml:space="preserve">DV mystery — largest 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</si>
</sst>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A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2"/>
      <color rgb="FF006100"/>
      <name val="Cambria"/>
      <family val="0"/>
      <charset val="1"/>
    </font>
    <font>
      <b val="true"/>
      <sz val="11"/>
      <color rgb="FF9C0006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A"/>
        <bgColor rgb="FF003366"/>
      </patternFill>
    </fill>
    <fill>
      <patternFill patternType="solid">
        <fgColor rgb="FFF4F1EA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D9D2BE"/>
      </patternFill>
    </fill>
    <fill>
      <patternFill patternType="solid">
        <fgColor rgb="FFD9D2BE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AE92"/>
      </left>
      <right style="thin">
        <color rgb="FFB8AE92"/>
      </right>
      <top style="thin">
        <color rgb="FFB8AE92"/>
      </top>
      <bottom style="thin">
        <color rgb="FFB8AE9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2BE"/>
      <rgbColor rgb="FF808080"/>
      <rgbColor rgb="FF9999FF"/>
      <rgbColor rgb="FF993366"/>
      <rgbColor rgb="FFF4F1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B8AE92"/>
      <rgbColor rgb="FF003366"/>
      <rgbColor rgb="FF339966"/>
      <rgbColor rgb="FF003300"/>
      <rgbColor rgb="FF333300"/>
      <rgbColor rgb="FF993300"/>
      <rgbColor rgb="FF993366"/>
      <rgbColor rgb="FF1F4E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3"/>
      <c r="B5" s="3"/>
      <c r="C5" s="3"/>
      <c r="D5" s="3"/>
      <c r="E5" s="3"/>
    </row>
    <row r="7" customFormat="false" ht="15" hidden="false" customHeight="false" outlineLevel="0" collapsed="false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</row>
    <row r="8" customFormat="false" ht="15" hidden="false" customHeight="false" outlineLevel="0" collapsed="false">
      <c r="A8" s="5" t="s">
        <v>10</v>
      </c>
      <c r="B8" s="6" t="n">
        <v>81</v>
      </c>
      <c r="C8" s="6" t="n">
        <f aca="false">COUNTIF(FA24!C:C,"✓ Correct")</f>
        <v>43</v>
      </c>
      <c r="D8" s="7" t="n">
        <f aca="false">C8/B8</f>
        <v>0.530864197530864</v>
      </c>
      <c r="E8" s="6" t="n">
        <f aca="false">COUNTIF(FA24!D:D,"✓ Correct")</f>
        <v>81</v>
      </c>
      <c r="F8" s="7" t="n">
        <f aca="false">E8/B8</f>
        <v>1</v>
      </c>
      <c r="G8" s="8" t="n">
        <f aca="false">F8-D8</f>
        <v>0.469135802469136</v>
      </c>
    </row>
    <row r="9" customFormat="false" ht="15" hidden="false" customHeight="false" outlineLevel="0" collapsed="false">
      <c r="A9" s="5" t="s">
        <v>11</v>
      </c>
      <c r="B9" s="6" t="n">
        <v>76</v>
      </c>
      <c r="C9" s="6" t="n">
        <f aca="false">COUNTIF(SP24!C:C,"✓ Correct")</f>
        <v>31</v>
      </c>
      <c r="D9" s="7" t="n">
        <f aca="false">C9/B9</f>
        <v>0.407894736842105</v>
      </c>
      <c r="E9" s="6" t="n">
        <f aca="false">COUNTIF(SP24!D:D,"✓ Correct")</f>
        <v>74</v>
      </c>
      <c r="F9" s="7" t="n">
        <f aca="false">E9/B9</f>
        <v>0.973684210526316</v>
      </c>
      <c r="G9" s="8" t="n">
        <f aca="false">F9-D9</f>
        <v>0.565789473684211</v>
      </c>
    </row>
    <row r="10" customFormat="false" ht="15" hidden="false" customHeight="false" outlineLevel="0" collapsed="false">
      <c r="A10" s="9" t="s">
        <v>12</v>
      </c>
      <c r="B10" s="9" t="n">
        <f aca="false">B8+B9</f>
        <v>157</v>
      </c>
      <c r="C10" s="9" t="n">
        <f aca="false">C8+C9</f>
        <v>74</v>
      </c>
      <c r="D10" s="10" t="n">
        <f aca="false">C10/B10</f>
        <v>0.471337579617834</v>
      </c>
      <c r="E10" s="9" t="n">
        <f aca="false">E8+E9</f>
        <v>155</v>
      </c>
      <c r="F10" s="10" t="n">
        <f aca="false">E10/B10</f>
        <v>0.987261146496815</v>
      </c>
      <c r="G10" s="11" t="n">
        <f aca="false">F10-D10</f>
        <v>0.515923566878981</v>
      </c>
    </row>
    <row r="13" customFormat="false" ht="15" hidden="false" customHeight="false" outlineLevel="0" collapsed="false">
      <c r="A13" s="2" t="s">
        <v>13</v>
      </c>
    </row>
    <row r="14" customFormat="false" ht="15" hidden="false" customHeight="false" outlineLevel="0" collapsed="false">
      <c r="A14" s="12" t="s">
        <v>14</v>
      </c>
      <c r="B14" s="13" t="s">
        <v>15</v>
      </c>
    </row>
    <row r="15" customFormat="false" ht="15" hidden="false" customHeight="false" outlineLevel="0" collapsed="false">
      <c r="A15" s="14" t="s">
        <v>16</v>
      </c>
      <c r="B15" s="13" t="s">
        <v>17</v>
      </c>
    </row>
  </sheetData>
  <mergeCells count="2">
    <mergeCell ref="A1:E1"/>
    <mergeCell ref="A4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4" min="3" style="0" width="13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5" t="s">
        <v>18</v>
      </c>
      <c r="B1" s="15" t="s">
        <v>19</v>
      </c>
      <c r="C1" s="15" t="s">
        <v>20</v>
      </c>
      <c r="D1" s="15" t="s">
        <v>21</v>
      </c>
      <c r="E1" s="15" t="s">
        <v>22</v>
      </c>
    </row>
    <row r="2" customFormat="false" ht="15" hidden="false" customHeight="false" outlineLevel="0" collapsed="false">
      <c r="A2" s="16" t="s">
        <v>23</v>
      </c>
      <c r="B2" s="16"/>
      <c r="C2" s="16"/>
      <c r="D2" s="16"/>
      <c r="E2" s="16"/>
    </row>
    <row r="3" customFormat="false" ht="15" hidden="false" customHeight="false" outlineLevel="0" collapsed="false">
      <c r="A3" s="17" t="s">
        <v>24</v>
      </c>
      <c r="B3" s="18" t="s">
        <v>25</v>
      </c>
      <c r="C3" s="19" t="s">
        <v>16</v>
      </c>
      <c r="D3" s="20" t="s">
        <v>14</v>
      </c>
      <c r="E3" s="21" t="s">
        <v>26</v>
      </c>
    </row>
    <row r="4" customFormat="false" ht="15" hidden="false" customHeight="false" outlineLevel="0" collapsed="false">
      <c r="A4" s="17" t="s">
        <v>27</v>
      </c>
      <c r="B4" s="18" t="s">
        <v>28</v>
      </c>
      <c r="C4" s="19" t="s">
        <v>16</v>
      </c>
      <c r="D4" s="20" t="s">
        <v>14</v>
      </c>
      <c r="E4" s="21" t="s">
        <v>29</v>
      </c>
    </row>
    <row r="5" customFormat="false" ht="15" hidden="false" customHeight="false" outlineLevel="0" collapsed="false">
      <c r="A5" s="17" t="s">
        <v>30</v>
      </c>
      <c r="B5" s="18" t="s">
        <v>31</v>
      </c>
      <c r="C5" s="19" t="s">
        <v>16</v>
      </c>
      <c r="D5" s="20" t="s">
        <v>14</v>
      </c>
      <c r="E5" s="21" t="s">
        <v>32</v>
      </c>
    </row>
    <row r="6" customFormat="false" ht="15" hidden="false" customHeight="false" outlineLevel="0" collapsed="false">
      <c r="A6" s="17" t="s">
        <v>33</v>
      </c>
      <c r="B6" s="18" t="s">
        <v>34</v>
      </c>
      <c r="C6" s="19" t="s">
        <v>16</v>
      </c>
      <c r="D6" s="20" t="s">
        <v>14</v>
      </c>
      <c r="E6" s="21" t="s">
        <v>32</v>
      </c>
    </row>
    <row r="7" customFormat="false" ht="15" hidden="false" customHeight="false" outlineLevel="0" collapsed="false">
      <c r="A7" s="17" t="s">
        <v>35</v>
      </c>
      <c r="B7" s="18" t="s">
        <v>36</v>
      </c>
      <c r="C7" s="19" t="s">
        <v>16</v>
      </c>
      <c r="D7" s="20" t="s">
        <v>14</v>
      </c>
      <c r="E7" s="21" t="s">
        <v>37</v>
      </c>
    </row>
    <row r="8" customFormat="false" ht="15" hidden="false" customHeight="false" outlineLevel="0" collapsed="false">
      <c r="A8" s="17" t="s">
        <v>38</v>
      </c>
      <c r="B8" s="18" t="s">
        <v>39</v>
      </c>
      <c r="C8" s="19" t="s">
        <v>16</v>
      </c>
      <c r="D8" s="20" t="s">
        <v>14</v>
      </c>
      <c r="E8" s="21" t="s">
        <v>37</v>
      </c>
    </row>
    <row r="9" customFormat="false" ht="15" hidden="false" customHeight="false" outlineLevel="0" collapsed="false">
      <c r="A9" s="17" t="s">
        <v>40</v>
      </c>
      <c r="B9" s="18" t="s">
        <v>41</v>
      </c>
      <c r="C9" s="20" t="s">
        <v>14</v>
      </c>
      <c r="D9" s="20" t="s">
        <v>14</v>
      </c>
      <c r="E9" s="21" t="s">
        <v>42</v>
      </c>
    </row>
    <row r="10" customFormat="false" ht="15" hidden="false" customHeight="false" outlineLevel="0" collapsed="false">
      <c r="A10" s="17" t="s">
        <v>43</v>
      </c>
      <c r="B10" s="18" t="s">
        <v>44</v>
      </c>
      <c r="C10" s="20" t="s">
        <v>14</v>
      </c>
      <c r="D10" s="20" t="s">
        <v>14</v>
      </c>
      <c r="E10" s="21" t="s">
        <v>45</v>
      </c>
    </row>
    <row r="11" customFormat="false" ht="15" hidden="false" customHeight="false" outlineLevel="0" collapsed="false">
      <c r="A11" s="17" t="s">
        <v>46</v>
      </c>
      <c r="B11" s="18" t="s">
        <v>47</v>
      </c>
      <c r="C11" s="19" t="s">
        <v>16</v>
      </c>
      <c r="D11" s="20" t="s">
        <v>14</v>
      </c>
      <c r="E11" s="21" t="s">
        <v>48</v>
      </c>
    </row>
    <row r="12" customFormat="false" ht="15" hidden="false" customHeight="false" outlineLevel="0" collapsed="false">
      <c r="A12" s="17" t="s">
        <v>49</v>
      </c>
      <c r="B12" s="18" t="s">
        <v>50</v>
      </c>
      <c r="C12" s="19" t="s">
        <v>16</v>
      </c>
      <c r="D12" s="20" t="s">
        <v>14</v>
      </c>
      <c r="E12" s="21" t="s">
        <v>51</v>
      </c>
    </row>
    <row r="13" customFormat="false" ht="15" hidden="false" customHeight="false" outlineLevel="0" collapsed="false">
      <c r="A13" s="17" t="s">
        <v>52</v>
      </c>
      <c r="B13" s="18" t="s">
        <v>53</v>
      </c>
      <c r="C13" s="19" t="s">
        <v>16</v>
      </c>
      <c r="D13" s="20" t="s">
        <v>14</v>
      </c>
      <c r="E13" s="21" t="s">
        <v>54</v>
      </c>
    </row>
    <row r="14" customFormat="false" ht="15" hidden="false" customHeight="false" outlineLevel="0" collapsed="false">
      <c r="A14" s="17" t="s">
        <v>55</v>
      </c>
      <c r="B14" s="18" t="s">
        <v>56</v>
      </c>
      <c r="C14" s="19" t="s">
        <v>16</v>
      </c>
      <c r="D14" s="20" t="s">
        <v>14</v>
      </c>
      <c r="E14" s="21" t="s">
        <v>54</v>
      </c>
    </row>
    <row r="15" customFormat="false" ht="15" hidden="false" customHeight="false" outlineLevel="0" collapsed="false">
      <c r="A15" s="17" t="s">
        <v>57</v>
      </c>
      <c r="B15" s="18" t="s">
        <v>58</v>
      </c>
      <c r="C15" s="20" t="s">
        <v>14</v>
      </c>
      <c r="D15" s="20" t="s">
        <v>14</v>
      </c>
      <c r="E15" s="21" t="s">
        <v>59</v>
      </c>
    </row>
    <row r="16" customFormat="false" ht="15" hidden="false" customHeight="false" outlineLevel="0" collapsed="false">
      <c r="A16" s="17" t="s">
        <v>60</v>
      </c>
      <c r="B16" s="18" t="s">
        <v>61</v>
      </c>
      <c r="C16" s="20" t="s">
        <v>14</v>
      </c>
      <c r="D16" s="20" t="s">
        <v>14</v>
      </c>
      <c r="E16" s="21" t="s">
        <v>59</v>
      </c>
    </row>
    <row r="17" customFormat="false" ht="15" hidden="false" customHeight="false" outlineLevel="0" collapsed="false">
      <c r="A17" s="17" t="s">
        <v>62</v>
      </c>
      <c r="B17" s="18" t="s">
        <v>63</v>
      </c>
      <c r="C17" s="19" t="s">
        <v>16</v>
      </c>
      <c r="D17" s="20" t="s">
        <v>14</v>
      </c>
      <c r="E17" s="21" t="s">
        <v>64</v>
      </c>
    </row>
    <row r="18" customFormat="false" ht="15" hidden="false" customHeight="false" outlineLevel="0" collapsed="false">
      <c r="A18" s="17" t="s">
        <v>65</v>
      </c>
      <c r="B18" s="18" t="s">
        <v>66</v>
      </c>
      <c r="C18" s="20" t="s">
        <v>14</v>
      </c>
      <c r="D18" s="20" t="s">
        <v>14</v>
      </c>
      <c r="E18" s="21" t="s">
        <v>67</v>
      </c>
    </row>
    <row r="19" customFormat="false" ht="15" hidden="false" customHeight="false" outlineLevel="0" collapsed="false">
      <c r="A19" s="17" t="s">
        <v>68</v>
      </c>
      <c r="B19" s="18" t="s">
        <v>69</v>
      </c>
      <c r="C19" s="20" t="s">
        <v>14</v>
      </c>
      <c r="D19" s="20" t="s">
        <v>14</v>
      </c>
      <c r="E19" s="21" t="s">
        <v>70</v>
      </c>
    </row>
    <row r="20" customFormat="false" ht="15" hidden="false" customHeight="false" outlineLevel="0" collapsed="false">
      <c r="A20" s="16" t="s">
        <v>71</v>
      </c>
      <c r="B20" s="16"/>
      <c r="C20" s="16"/>
      <c r="D20" s="16"/>
      <c r="E20" s="16"/>
    </row>
    <row r="21" customFormat="false" ht="15" hidden="false" customHeight="false" outlineLevel="0" collapsed="false">
      <c r="A21" s="17" t="s">
        <v>72</v>
      </c>
      <c r="B21" s="18" t="s">
        <v>73</v>
      </c>
      <c r="C21" s="19" t="s">
        <v>16</v>
      </c>
      <c r="D21" s="20" t="s">
        <v>14</v>
      </c>
      <c r="E21" s="21" t="s">
        <v>74</v>
      </c>
    </row>
    <row r="22" customFormat="false" ht="15" hidden="false" customHeight="false" outlineLevel="0" collapsed="false">
      <c r="A22" s="17" t="s">
        <v>75</v>
      </c>
      <c r="B22" s="18" t="s">
        <v>76</v>
      </c>
      <c r="C22" s="19" t="s">
        <v>16</v>
      </c>
      <c r="D22" s="20" t="s">
        <v>14</v>
      </c>
      <c r="E22" s="21" t="s">
        <v>77</v>
      </c>
    </row>
    <row r="23" customFormat="false" ht="15" hidden="false" customHeight="false" outlineLevel="0" collapsed="false">
      <c r="A23" s="17" t="s">
        <v>78</v>
      </c>
      <c r="B23" s="18" t="s">
        <v>79</v>
      </c>
      <c r="C23" s="19" t="s">
        <v>16</v>
      </c>
      <c r="D23" s="20" t="s">
        <v>14</v>
      </c>
      <c r="E23" s="21" t="s">
        <v>80</v>
      </c>
    </row>
    <row r="24" customFormat="false" ht="15" hidden="false" customHeight="false" outlineLevel="0" collapsed="false">
      <c r="A24" s="17" t="s">
        <v>81</v>
      </c>
      <c r="B24" s="18" t="s">
        <v>82</v>
      </c>
      <c r="C24" s="19" t="s">
        <v>16</v>
      </c>
      <c r="D24" s="20" t="s">
        <v>14</v>
      </c>
      <c r="E24" s="21" t="s">
        <v>83</v>
      </c>
    </row>
    <row r="25" customFormat="false" ht="15" hidden="false" customHeight="false" outlineLevel="0" collapsed="false">
      <c r="A25" s="17" t="s">
        <v>84</v>
      </c>
      <c r="B25" s="18" t="s">
        <v>85</v>
      </c>
      <c r="C25" s="19" t="s">
        <v>16</v>
      </c>
      <c r="D25" s="20" t="s">
        <v>14</v>
      </c>
      <c r="E25" s="21" t="s">
        <v>86</v>
      </c>
    </row>
    <row r="26" customFormat="false" ht="15" hidden="false" customHeight="false" outlineLevel="0" collapsed="false">
      <c r="A26" s="17" t="s">
        <v>87</v>
      </c>
      <c r="B26" s="18" t="s">
        <v>88</v>
      </c>
      <c r="C26" s="19" t="s">
        <v>16</v>
      </c>
      <c r="D26" s="20" t="s">
        <v>14</v>
      </c>
      <c r="E26" s="21" t="s">
        <v>89</v>
      </c>
    </row>
    <row r="27" customFormat="false" ht="15" hidden="false" customHeight="false" outlineLevel="0" collapsed="false">
      <c r="A27" s="17" t="s">
        <v>90</v>
      </c>
      <c r="B27" s="18" t="s">
        <v>91</v>
      </c>
      <c r="C27" s="19" t="s">
        <v>16</v>
      </c>
      <c r="D27" s="20" t="s">
        <v>14</v>
      </c>
      <c r="E27" s="21" t="s">
        <v>92</v>
      </c>
    </row>
    <row r="28" customFormat="false" ht="15" hidden="false" customHeight="false" outlineLevel="0" collapsed="false">
      <c r="A28" s="17" t="s">
        <v>93</v>
      </c>
      <c r="B28" s="18" t="s">
        <v>94</v>
      </c>
      <c r="C28" s="19" t="s">
        <v>16</v>
      </c>
      <c r="D28" s="20" t="s">
        <v>14</v>
      </c>
      <c r="E28" s="21" t="s">
        <v>95</v>
      </c>
    </row>
    <row r="29" customFormat="false" ht="15" hidden="false" customHeight="false" outlineLevel="0" collapsed="false">
      <c r="A29" s="17" t="s">
        <v>96</v>
      </c>
      <c r="B29" s="18" t="s">
        <v>97</v>
      </c>
      <c r="C29" s="19" t="s">
        <v>16</v>
      </c>
      <c r="D29" s="20" t="s">
        <v>14</v>
      </c>
      <c r="E29" s="21" t="s">
        <v>98</v>
      </c>
    </row>
    <row r="30" customFormat="false" ht="15" hidden="false" customHeight="false" outlineLevel="0" collapsed="false">
      <c r="A30" s="17" t="s">
        <v>99</v>
      </c>
      <c r="B30" s="18" t="s">
        <v>100</v>
      </c>
      <c r="C30" s="19" t="s">
        <v>16</v>
      </c>
      <c r="D30" s="20" t="s">
        <v>14</v>
      </c>
      <c r="E30" s="21" t="s">
        <v>101</v>
      </c>
    </row>
    <row r="31" customFormat="false" ht="15" hidden="false" customHeight="false" outlineLevel="0" collapsed="false">
      <c r="A31" s="17" t="s">
        <v>102</v>
      </c>
      <c r="B31" s="18" t="s">
        <v>103</v>
      </c>
      <c r="C31" s="19" t="s">
        <v>16</v>
      </c>
      <c r="D31" s="20" t="s">
        <v>14</v>
      </c>
      <c r="E31" s="21" t="s">
        <v>104</v>
      </c>
    </row>
    <row r="32" customFormat="false" ht="15" hidden="false" customHeight="false" outlineLevel="0" collapsed="false">
      <c r="A32" s="17" t="s">
        <v>105</v>
      </c>
      <c r="B32" s="18" t="s">
        <v>106</v>
      </c>
      <c r="C32" s="19" t="s">
        <v>16</v>
      </c>
      <c r="D32" s="20" t="s">
        <v>14</v>
      </c>
      <c r="E32" s="21" t="s">
        <v>107</v>
      </c>
    </row>
    <row r="33" customFormat="false" ht="15" hidden="false" customHeight="false" outlineLevel="0" collapsed="false">
      <c r="A33" s="16" t="s">
        <v>108</v>
      </c>
      <c r="B33" s="16"/>
      <c r="C33" s="16"/>
      <c r="D33" s="16"/>
      <c r="E33" s="16"/>
    </row>
    <row r="34" customFormat="false" ht="15" hidden="false" customHeight="false" outlineLevel="0" collapsed="false">
      <c r="A34" s="17" t="s">
        <v>109</v>
      </c>
      <c r="B34" s="18" t="s">
        <v>110</v>
      </c>
      <c r="C34" s="19" t="s">
        <v>16</v>
      </c>
      <c r="D34" s="20" t="s">
        <v>14</v>
      </c>
      <c r="E34" s="21" t="s">
        <v>111</v>
      </c>
    </row>
    <row r="35" customFormat="false" ht="15" hidden="false" customHeight="false" outlineLevel="0" collapsed="false">
      <c r="A35" s="17" t="s">
        <v>112</v>
      </c>
      <c r="B35" s="18" t="s">
        <v>113</v>
      </c>
      <c r="C35" s="19" t="s">
        <v>16</v>
      </c>
      <c r="D35" s="20" t="s">
        <v>14</v>
      </c>
      <c r="E35" s="21" t="s">
        <v>111</v>
      </c>
    </row>
    <row r="36" customFormat="false" ht="15" hidden="false" customHeight="false" outlineLevel="0" collapsed="false">
      <c r="A36" s="17" t="s">
        <v>114</v>
      </c>
      <c r="B36" s="18" t="s">
        <v>115</v>
      </c>
      <c r="C36" s="19" t="s">
        <v>16</v>
      </c>
      <c r="D36" s="20" t="s">
        <v>14</v>
      </c>
      <c r="E36" s="21" t="s">
        <v>111</v>
      </c>
    </row>
    <row r="37" customFormat="false" ht="15" hidden="false" customHeight="false" outlineLevel="0" collapsed="false">
      <c r="A37" s="17" t="s">
        <v>116</v>
      </c>
      <c r="B37" s="18" t="s">
        <v>117</v>
      </c>
      <c r="C37" s="19" t="s">
        <v>16</v>
      </c>
      <c r="D37" s="20" t="s">
        <v>14</v>
      </c>
      <c r="E37" s="21" t="s">
        <v>111</v>
      </c>
    </row>
    <row r="38" customFormat="false" ht="15" hidden="false" customHeight="false" outlineLevel="0" collapsed="false">
      <c r="A38" s="17" t="s">
        <v>118</v>
      </c>
      <c r="B38" s="18" t="s">
        <v>119</v>
      </c>
      <c r="C38" s="20" t="s">
        <v>14</v>
      </c>
      <c r="D38" s="20" t="s">
        <v>14</v>
      </c>
      <c r="E38" s="21" t="s">
        <v>120</v>
      </c>
    </row>
    <row r="39" customFormat="false" ht="15" hidden="false" customHeight="false" outlineLevel="0" collapsed="false">
      <c r="A39" s="17" t="s">
        <v>121</v>
      </c>
      <c r="B39" s="18" t="s">
        <v>122</v>
      </c>
      <c r="C39" s="20" t="s">
        <v>14</v>
      </c>
      <c r="D39" s="20" t="s">
        <v>14</v>
      </c>
      <c r="E39" s="21" t="s">
        <v>123</v>
      </c>
    </row>
    <row r="40" customFormat="false" ht="15" hidden="false" customHeight="false" outlineLevel="0" collapsed="false">
      <c r="A40" s="16" t="s">
        <v>124</v>
      </c>
      <c r="B40" s="16"/>
      <c r="C40" s="16"/>
      <c r="D40" s="16"/>
      <c r="E40" s="16"/>
    </row>
    <row r="41" customFormat="false" ht="15" hidden="false" customHeight="false" outlineLevel="0" collapsed="false">
      <c r="A41" s="17" t="s">
        <v>125</v>
      </c>
      <c r="B41" s="18" t="s">
        <v>126</v>
      </c>
      <c r="C41" s="20" t="s">
        <v>14</v>
      </c>
      <c r="D41" s="20" t="s">
        <v>14</v>
      </c>
      <c r="E41" s="21" t="s">
        <v>127</v>
      </c>
    </row>
    <row r="42" customFormat="false" ht="15" hidden="false" customHeight="false" outlineLevel="0" collapsed="false">
      <c r="A42" s="17" t="s">
        <v>128</v>
      </c>
      <c r="B42" s="18" t="s">
        <v>129</v>
      </c>
      <c r="C42" s="20" t="s">
        <v>14</v>
      </c>
      <c r="D42" s="20" t="s">
        <v>14</v>
      </c>
      <c r="E42" s="21" t="s">
        <v>130</v>
      </c>
    </row>
    <row r="43" customFormat="false" ht="15" hidden="false" customHeight="false" outlineLevel="0" collapsed="false">
      <c r="A43" s="17" t="s">
        <v>131</v>
      </c>
      <c r="B43" s="18" t="s">
        <v>132</v>
      </c>
      <c r="C43" s="20" t="s">
        <v>14</v>
      </c>
      <c r="D43" s="20" t="s">
        <v>14</v>
      </c>
      <c r="E43" s="21" t="s">
        <v>133</v>
      </c>
    </row>
    <row r="44" customFormat="false" ht="15" hidden="false" customHeight="false" outlineLevel="0" collapsed="false">
      <c r="A44" s="17" t="s">
        <v>134</v>
      </c>
      <c r="B44" s="18" t="s">
        <v>135</v>
      </c>
      <c r="C44" s="19" t="s">
        <v>16</v>
      </c>
      <c r="D44" s="20" t="s">
        <v>14</v>
      </c>
      <c r="E44" s="21" t="s">
        <v>136</v>
      </c>
    </row>
    <row r="45" customFormat="false" ht="15" hidden="false" customHeight="false" outlineLevel="0" collapsed="false">
      <c r="A45" s="17" t="s">
        <v>137</v>
      </c>
      <c r="B45" s="18" t="s">
        <v>138</v>
      </c>
      <c r="C45" s="20" t="s">
        <v>14</v>
      </c>
      <c r="D45" s="20" t="s">
        <v>14</v>
      </c>
      <c r="E45" s="21" t="s">
        <v>139</v>
      </c>
    </row>
    <row r="46" customFormat="false" ht="15" hidden="false" customHeight="false" outlineLevel="0" collapsed="false">
      <c r="A46" s="17" t="s">
        <v>140</v>
      </c>
      <c r="B46" s="18" t="s">
        <v>141</v>
      </c>
      <c r="C46" s="20" t="s">
        <v>14</v>
      </c>
      <c r="D46" s="20" t="s">
        <v>14</v>
      </c>
      <c r="E46" s="21" t="s">
        <v>142</v>
      </c>
    </row>
    <row r="47" customFormat="false" ht="15" hidden="false" customHeight="false" outlineLevel="0" collapsed="false">
      <c r="A47" s="17" t="s">
        <v>143</v>
      </c>
      <c r="B47" s="18" t="s">
        <v>144</v>
      </c>
      <c r="C47" s="20" t="s">
        <v>14</v>
      </c>
      <c r="D47" s="20" t="s">
        <v>14</v>
      </c>
      <c r="E47" s="21" t="s">
        <v>145</v>
      </c>
    </row>
    <row r="48" customFormat="false" ht="15" hidden="false" customHeight="false" outlineLevel="0" collapsed="false">
      <c r="A48" s="17" t="s">
        <v>146</v>
      </c>
      <c r="B48" s="18" t="s">
        <v>147</v>
      </c>
      <c r="C48" s="20" t="s">
        <v>14</v>
      </c>
      <c r="D48" s="20" t="s">
        <v>14</v>
      </c>
      <c r="E48" s="21" t="s">
        <v>148</v>
      </c>
    </row>
    <row r="49" customFormat="false" ht="15" hidden="false" customHeight="false" outlineLevel="0" collapsed="false">
      <c r="A49" s="16" t="s">
        <v>149</v>
      </c>
      <c r="B49" s="16"/>
      <c r="C49" s="16"/>
      <c r="D49" s="16"/>
      <c r="E49" s="16"/>
    </row>
    <row r="50" customFormat="false" ht="15" hidden="false" customHeight="false" outlineLevel="0" collapsed="false">
      <c r="A50" s="17" t="s">
        <v>150</v>
      </c>
      <c r="B50" s="18" t="s">
        <v>151</v>
      </c>
      <c r="C50" s="20" t="s">
        <v>14</v>
      </c>
      <c r="D50" s="20" t="s">
        <v>14</v>
      </c>
      <c r="E50" s="21" t="s">
        <v>152</v>
      </c>
    </row>
    <row r="51" customFormat="false" ht="15" hidden="false" customHeight="false" outlineLevel="0" collapsed="false">
      <c r="A51" s="17" t="s">
        <v>153</v>
      </c>
      <c r="B51" s="18" t="s">
        <v>154</v>
      </c>
      <c r="C51" s="20" t="s">
        <v>14</v>
      </c>
      <c r="D51" s="20" t="s">
        <v>14</v>
      </c>
      <c r="E51" s="21" t="s">
        <v>155</v>
      </c>
    </row>
    <row r="52" customFormat="false" ht="15" hidden="false" customHeight="false" outlineLevel="0" collapsed="false">
      <c r="A52" s="17" t="s">
        <v>156</v>
      </c>
      <c r="B52" s="18" t="s">
        <v>157</v>
      </c>
      <c r="C52" s="20" t="s">
        <v>14</v>
      </c>
      <c r="D52" s="20" t="s">
        <v>14</v>
      </c>
      <c r="E52" s="21" t="s">
        <v>155</v>
      </c>
    </row>
    <row r="53" customFormat="false" ht="15" hidden="false" customHeight="false" outlineLevel="0" collapsed="false">
      <c r="A53" s="17" t="s">
        <v>158</v>
      </c>
      <c r="B53" s="18" t="s">
        <v>159</v>
      </c>
      <c r="C53" s="20" t="s">
        <v>14</v>
      </c>
      <c r="D53" s="20" t="s">
        <v>14</v>
      </c>
      <c r="E53" s="21" t="s">
        <v>160</v>
      </c>
    </row>
    <row r="54" customFormat="false" ht="15" hidden="false" customHeight="false" outlineLevel="0" collapsed="false">
      <c r="A54" s="17" t="s">
        <v>161</v>
      </c>
      <c r="B54" s="18" t="s">
        <v>162</v>
      </c>
      <c r="C54" s="20" t="s">
        <v>14</v>
      </c>
      <c r="D54" s="20" t="s">
        <v>14</v>
      </c>
      <c r="E54" s="21" t="s">
        <v>163</v>
      </c>
    </row>
    <row r="55" customFormat="false" ht="15" hidden="false" customHeight="false" outlineLevel="0" collapsed="false">
      <c r="A55" s="17" t="s">
        <v>164</v>
      </c>
      <c r="B55" s="18" t="s">
        <v>165</v>
      </c>
      <c r="C55" s="20" t="s">
        <v>14</v>
      </c>
      <c r="D55" s="20" t="s">
        <v>14</v>
      </c>
      <c r="E55" s="21" t="s">
        <v>127</v>
      </c>
    </row>
    <row r="56" customFormat="false" ht="15" hidden="false" customHeight="false" outlineLevel="0" collapsed="false">
      <c r="A56" s="17" t="s">
        <v>166</v>
      </c>
      <c r="B56" s="18" t="s">
        <v>167</v>
      </c>
      <c r="C56" s="20" t="s">
        <v>14</v>
      </c>
      <c r="D56" s="20" t="s">
        <v>14</v>
      </c>
      <c r="E56" s="21" t="s">
        <v>168</v>
      </c>
    </row>
    <row r="57" customFormat="false" ht="15" hidden="false" customHeight="false" outlineLevel="0" collapsed="false">
      <c r="A57" s="17" t="s">
        <v>169</v>
      </c>
      <c r="B57" s="18" t="s">
        <v>170</v>
      </c>
      <c r="C57" s="20" t="s">
        <v>14</v>
      </c>
      <c r="D57" s="20" t="s">
        <v>14</v>
      </c>
      <c r="E57" s="21" t="s">
        <v>171</v>
      </c>
    </row>
    <row r="58" customFormat="false" ht="15" hidden="false" customHeight="false" outlineLevel="0" collapsed="false">
      <c r="A58" s="17" t="s">
        <v>172</v>
      </c>
      <c r="B58" s="18" t="s">
        <v>173</v>
      </c>
      <c r="C58" s="20" t="s">
        <v>14</v>
      </c>
      <c r="D58" s="20" t="s">
        <v>14</v>
      </c>
      <c r="E58" s="21" t="s">
        <v>174</v>
      </c>
    </row>
    <row r="59" customFormat="false" ht="15" hidden="false" customHeight="false" outlineLevel="0" collapsed="false">
      <c r="A59" s="16" t="s">
        <v>175</v>
      </c>
      <c r="B59" s="16"/>
      <c r="C59" s="16"/>
      <c r="D59" s="16"/>
      <c r="E59" s="16"/>
    </row>
    <row r="60" customFormat="false" ht="15" hidden="false" customHeight="false" outlineLevel="0" collapsed="false">
      <c r="A60" s="17" t="s">
        <v>176</v>
      </c>
      <c r="B60" s="18" t="s">
        <v>177</v>
      </c>
      <c r="C60" s="19" t="s">
        <v>16</v>
      </c>
      <c r="D60" s="20" t="s">
        <v>14</v>
      </c>
      <c r="E60" s="21" t="s">
        <v>178</v>
      </c>
    </row>
    <row r="61" customFormat="false" ht="15" hidden="false" customHeight="false" outlineLevel="0" collapsed="false">
      <c r="A61" s="17" t="s">
        <v>179</v>
      </c>
      <c r="B61" s="18" t="s">
        <v>180</v>
      </c>
      <c r="C61" s="20" t="s">
        <v>14</v>
      </c>
      <c r="D61" s="20" t="s">
        <v>14</v>
      </c>
      <c r="E61" s="21" t="s">
        <v>181</v>
      </c>
    </row>
    <row r="62" customFormat="false" ht="15" hidden="false" customHeight="false" outlineLevel="0" collapsed="false">
      <c r="A62" s="17" t="s">
        <v>182</v>
      </c>
      <c r="B62" s="18" t="s">
        <v>183</v>
      </c>
      <c r="C62" s="20" t="s">
        <v>14</v>
      </c>
      <c r="D62" s="20" t="s">
        <v>14</v>
      </c>
      <c r="E62" s="21" t="s">
        <v>184</v>
      </c>
    </row>
    <row r="63" customFormat="false" ht="15" hidden="false" customHeight="false" outlineLevel="0" collapsed="false">
      <c r="A63" s="17" t="s">
        <v>185</v>
      </c>
      <c r="B63" s="18" t="s">
        <v>186</v>
      </c>
      <c r="C63" s="19" t="s">
        <v>16</v>
      </c>
      <c r="D63" s="20" t="s">
        <v>14</v>
      </c>
      <c r="E63" s="21" t="s">
        <v>187</v>
      </c>
    </row>
    <row r="64" customFormat="false" ht="15" hidden="false" customHeight="false" outlineLevel="0" collapsed="false">
      <c r="A64" s="17" t="s">
        <v>188</v>
      </c>
      <c r="B64" s="18" t="s">
        <v>189</v>
      </c>
      <c r="C64" s="20" t="s">
        <v>14</v>
      </c>
      <c r="D64" s="20" t="s">
        <v>14</v>
      </c>
      <c r="E64" s="21" t="s">
        <v>190</v>
      </c>
    </row>
    <row r="65" customFormat="false" ht="15" hidden="false" customHeight="false" outlineLevel="0" collapsed="false">
      <c r="A65" s="17" t="s">
        <v>191</v>
      </c>
      <c r="B65" s="18" t="s">
        <v>192</v>
      </c>
      <c r="C65" s="20" t="s">
        <v>14</v>
      </c>
      <c r="D65" s="20" t="s">
        <v>14</v>
      </c>
      <c r="E65" s="21" t="s">
        <v>193</v>
      </c>
    </row>
    <row r="66" customFormat="false" ht="15" hidden="false" customHeight="false" outlineLevel="0" collapsed="false">
      <c r="A66" s="17" t="s">
        <v>194</v>
      </c>
      <c r="B66" s="18" t="s">
        <v>195</v>
      </c>
      <c r="C66" s="20" t="s">
        <v>14</v>
      </c>
      <c r="D66" s="20" t="s">
        <v>14</v>
      </c>
      <c r="E66" s="21" t="s">
        <v>196</v>
      </c>
    </row>
    <row r="67" customFormat="false" ht="15" hidden="false" customHeight="false" outlineLevel="0" collapsed="false">
      <c r="A67" s="16" t="s">
        <v>197</v>
      </c>
      <c r="B67" s="16"/>
      <c r="C67" s="16"/>
      <c r="D67" s="16"/>
      <c r="E67" s="16"/>
    </row>
    <row r="68" customFormat="false" ht="15" hidden="false" customHeight="false" outlineLevel="0" collapsed="false">
      <c r="A68" s="17" t="s">
        <v>198</v>
      </c>
      <c r="B68" s="18" t="s">
        <v>199</v>
      </c>
      <c r="C68" s="19" t="s">
        <v>16</v>
      </c>
      <c r="D68" s="20" t="s">
        <v>14</v>
      </c>
      <c r="E68" s="21" t="s">
        <v>200</v>
      </c>
    </row>
    <row r="69" customFormat="false" ht="15" hidden="false" customHeight="false" outlineLevel="0" collapsed="false">
      <c r="A69" s="17" t="s">
        <v>201</v>
      </c>
      <c r="B69" s="18" t="s">
        <v>202</v>
      </c>
      <c r="C69" s="20" t="s">
        <v>14</v>
      </c>
      <c r="D69" s="20" t="s">
        <v>14</v>
      </c>
      <c r="E69" s="21" t="s">
        <v>203</v>
      </c>
    </row>
    <row r="70" customFormat="false" ht="15" hidden="false" customHeight="false" outlineLevel="0" collapsed="false">
      <c r="A70" s="17" t="s">
        <v>204</v>
      </c>
      <c r="B70" s="18" t="s">
        <v>205</v>
      </c>
      <c r="C70" s="20" t="s">
        <v>14</v>
      </c>
      <c r="D70" s="20" t="s">
        <v>14</v>
      </c>
      <c r="E70" s="21" t="s">
        <v>203</v>
      </c>
    </row>
    <row r="71" customFormat="false" ht="15" hidden="false" customHeight="false" outlineLevel="0" collapsed="false">
      <c r="A71" s="17" t="s">
        <v>206</v>
      </c>
      <c r="B71" s="18" t="s">
        <v>207</v>
      </c>
      <c r="C71" s="20" t="s">
        <v>14</v>
      </c>
      <c r="D71" s="20" t="s">
        <v>14</v>
      </c>
      <c r="E71" s="21" t="s">
        <v>208</v>
      </c>
    </row>
    <row r="72" customFormat="false" ht="15" hidden="false" customHeight="false" outlineLevel="0" collapsed="false">
      <c r="A72" s="17" t="s">
        <v>209</v>
      </c>
      <c r="B72" s="18" t="s">
        <v>210</v>
      </c>
      <c r="C72" s="20" t="s">
        <v>14</v>
      </c>
      <c r="D72" s="20" t="s">
        <v>14</v>
      </c>
      <c r="E72" s="21" t="s">
        <v>208</v>
      </c>
    </row>
    <row r="73" customFormat="false" ht="15" hidden="false" customHeight="false" outlineLevel="0" collapsed="false">
      <c r="A73" s="16" t="s">
        <v>211</v>
      </c>
      <c r="B73" s="16"/>
      <c r="C73" s="16"/>
      <c r="D73" s="16"/>
      <c r="E73" s="16"/>
    </row>
    <row r="74" customFormat="false" ht="15" hidden="false" customHeight="false" outlineLevel="0" collapsed="false">
      <c r="A74" s="17" t="s">
        <v>212</v>
      </c>
      <c r="B74" s="18" t="s">
        <v>213</v>
      </c>
      <c r="C74" s="20" t="s">
        <v>14</v>
      </c>
      <c r="D74" s="20" t="s">
        <v>14</v>
      </c>
      <c r="E74" s="21" t="s">
        <v>214</v>
      </c>
    </row>
    <row r="75" customFormat="false" ht="15" hidden="false" customHeight="false" outlineLevel="0" collapsed="false">
      <c r="A75" s="17" t="s">
        <v>215</v>
      </c>
      <c r="B75" s="18" t="s">
        <v>216</v>
      </c>
      <c r="C75" s="19" t="s">
        <v>16</v>
      </c>
      <c r="D75" s="20" t="s">
        <v>14</v>
      </c>
      <c r="E75" s="21" t="s">
        <v>217</v>
      </c>
    </row>
    <row r="76" customFormat="false" ht="15" hidden="false" customHeight="false" outlineLevel="0" collapsed="false">
      <c r="A76" s="17" t="s">
        <v>218</v>
      </c>
      <c r="B76" s="18" t="s">
        <v>219</v>
      </c>
      <c r="C76" s="20" t="s">
        <v>14</v>
      </c>
      <c r="D76" s="20" t="s">
        <v>14</v>
      </c>
      <c r="E76" s="21" t="s">
        <v>220</v>
      </c>
    </row>
    <row r="77" customFormat="false" ht="15" hidden="false" customHeight="false" outlineLevel="0" collapsed="false">
      <c r="A77" s="17" t="s">
        <v>221</v>
      </c>
      <c r="B77" s="18" t="s">
        <v>222</v>
      </c>
      <c r="C77" s="19" t="s">
        <v>16</v>
      </c>
      <c r="D77" s="20" t="s">
        <v>14</v>
      </c>
      <c r="E77" s="21" t="s">
        <v>217</v>
      </c>
    </row>
    <row r="78" customFormat="false" ht="15" hidden="false" customHeight="false" outlineLevel="0" collapsed="false">
      <c r="A78" s="17" t="s">
        <v>223</v>
      </c>
      <c r="B78" s="18" t="s">
        <v>224</v>
      </c>
      <c r="C78" s="20" t="s">
        <v>14</v>
      </c>
      <c r="D78" s="20" t="s">
        <v>14</v>
      </c>
      <c r="E78" s="21" t="s">
        <v>225</v>
      </c>
    </row>
    <row r="79" customFormat="false" ht="15" hidden="false" customHeight="false" outlineLevel="0" collapsed="false">
      <c r="A79" s="16" t="s">
        <v>226</v>
      </c>
      <c r="B79" s="16"/>
      <c r="C79" s="16"/>
      <c r="D79" s="16"/>
      <c r="E79" s="16"/>
    </row>
    <row r="80" customFormat="false" ht="15" hidden="false" customHeight="false" outlineLevel="0" collapsed="false">
      <c r="A80" s="17" t="s">
        <v>227</v>
      </c>
      <c r="B80" s="18" t="s">
        <v>228</v>
      </c>
      <c r="C80" s="19" t="s">
        <v>16</v>
      </c>
      <c r="D80" s="20" t="s">
        <v>14</v>
      </c>
      <c r="E80" s="21" t="s">
        <v>229</v>
      </c>
    </row>
    <row r="81" customFormat="false" ht="15" hidden="false" customHeight="false" outlineLevel="0" collapsed="false">
      <c r="A81" s="17" t="s">
        <v>230</v>
      </c>
      <c r="B81" s="18" t="s">
        <v>231</v>
      </c>
      <c r="C81" s="19" t="s">
        <v>16</v>
      </c>
      <c r="D81" s="20" t="s">
        <v>14</v>
      </c>
      <c r="E81" s="21" t="s">
        <v>232</v>
      </c>
    </row>
    <row r="82" customFormat="false" ht="15" hidden="false" customHeight="false" outlineLevel="0" collapsed="false">
      <c r="A82" s="17" t="s">
        <v>233</v>
      </c>
      <c r="B82" s="18" t="s">
        <v>234</v>
      </c>
      <c r="C82" s="19" t="s">
        <v>16</v>
      </c>
      <c r="D82" s="20" t="s">
        <v>14</v>
      </c>
      <c r="E82" s="21" t="s">
        <v>235</v>
      </c>
    </row>
    <row r="83" customFormat="false" ht="15" hidden="false" customHeight="false" outlineLevel="0" collapsed="false">
      <c r="A83" s="17" t="s">
        <v>236</v>
      </c>
      <c r="B83" s="18" t="s">
        <v>237</v>
      </c>
      <c r="C83" s="19" t="s">
        <v>16</v>
      </c>
      <c r="D83" s="20" t="s">
        <v>14</v>
      </c>
      <c r="E83" s="21" t="s">
        <v>238</v>
      </c>
    </row>
    <row r="84" customFormat="false" ht="15" hidden="false" customHeight="false" outlineLevel="0" collapsed="false">
      <c r="A84" s="17" t="s">
        <v>239</v>
      </c>
      <c r="B84" s="18" t="s">
        <v>240</v>
      </c>
      <c r="C84" s="19" t="s">
        <v>16</v>
      </c>
      <c r="D84" s="20" t="s">
        <v>14</v>
      </c>
      <c r="E84" s="21" t="s">
        <v>241</v>
      </c>
    </row>
    <row r="85" customFormat="false" ht="15" hidden="false" customHeight="false" outlineLevel="0" collapsed="false">
      <c r="A85" s="16" t="s">
        <v>242</v>
      </c>
      <c r="B85" s="16"/>
      <c r="C85" s="16"/>
      <c r="D85" s="16"/>
      <c r="E85" s="16"/>
    </row>
    <row r="86" customFormat="false" ht="15" hidden="false" customHeight="false" outlineLevel="0" collapsed="false">
      <c r="A86" s="17" t="s">
        <v>243</v>
      </c>
      <c r="B86" s="18" t="s">
        <v>244</v>
      </c>
      <c r="C86" s="20" t="s">
        <v>14</v>
      </c>
      <c r="D86" s="20" t="s">
        <v>14</v>
      </c>
      <c r="E86" s="21" t="s">
        <v>245</v>
      </c>
    </row>
    <row r="87" customFormat="false" ht="15" hidden="false" customHeight="false" outlineLevel="0" collapsed="false">
      <c r="A87" s="17" t="s">
        <v>246</v>
      </c>
      <c r="B87" s="18" t="s">
        <v>247</v>
      </c>
      <c r="C87" s="20" t="s">
        <v>14</v>
      </c>
      <c r="D87" s="20" t="s">
        <v>14</v>
      </c>
      <c r="E87" s="21" t="s">
        <v>245</v>
      </c>
    </row>
    <row r="88" customFormat="false" ht="15" hidden="false" customHeight="false" outlineLevel="0" collapsed="false">
      <c r="A88" s="17" t="s">
        <v>248</v>
      </c>
      <c r="B88" s="18" t="s">
        <v>249</v>
      </c>
      <c r="C88" s="20" t="s">
        <v>14</v>
      </c>
      <c r="D88" s="20" t="s">
        <v>14</v>
      </c>
      <c r="E88" s="21" t="s">
        <v>245</v>
      </c>
    </row>
    <row r="89" customFormat="false" ht="15" hidden="false" customHeight="false" outlineLevel="0" collapsed="false">
      <c r="A89" s="17" t="s">
        <v>250</v>
      </c>
      <c r="B89" s="18" t="s">
        <v>251</v>
      </c>
      <c r="C89" s="20" t="s">
        <v>14</v>
      </c>
      <c r="D89" s="20" t="s">
        <v>14</v>
      </c>
      <c r="E89" s="21" t="s">
        <v>245</v>
      </c>
    </row>
    <row r="90" customFormat="false" ht="15" hidden="false" customHeight="false" outlineLevel="0" collapsed="false">
      <c r="A90" s="17" t="s">
        <v>252</v>
      </c>
      <c r="B90" s="18" t="s">
        <v>253</v>
      </c>
      <c r="C90" s="20" t="s">
        <v>14</v>
      </c>
      <c r="D90" s="20" t="s">
        <v>14</v>
      </c>
      <c r="E90" s="21" t="s">
        <v>254</v>
      </c>
    </row>
    <row r="91" customFormat="false" ht="15" hidden="false" customHeight="false" outlineLevel="0" collapsed="false">
      <c r="A91" s="17" t="s">
        <v>255</v>
      </c>
      <c r="B91" s="18" t="s">
        <v>256</v>
      </c>
      <c r="C91" s="20" t="s">
        <v>14</v>
      </c>
      <c r="D91" s="20" t="s">
        <v>14</v>
      </c>
      <c r="E91" s="21" t="s">
        <v>254</v>
      </c>
    </row>
    <row r="92" customFormat="false" ht="15" hidden="false" customHeight="false" outlineLevel="0" collapsed="false">
      <c r="A92" s="17" t="s">
        <v>257</v>
      </c>
      <c r="B92" s="18" t="s">
        <v>258</v>
      </c>
      <c r="C92" s="20" t="s">
        <v>14</v>
      </c>
      <c r="D92" s="20" t="s">
        <v>14</v>
      </c>
      <c r="E92" s="21" t="s">
        <v>254</v>
      </c>
    </row>
    <row r="94" customFormat="false" ht="15" hidden="false" customHeight="false" outlineLevel="0" collapsed="false">
      <c r="A94" s="22" t="s">
        <v>259</v>
      </c>
      <c r="B94" s="22" t="s">
        <v>260</v>
      </c>
      <c r="C94" s="23" t="n">
        <f aca="false">COUNTIF(C2:C92,"✓ Correct")</f>
        <v>43</v>
      </c>
      <c r="D94" s="23" t="n">
        <f aca="false">COUNTIF(D2:D92,"✓ Correct")</f>
        <v>81</v>
      </c>
    </row>
    <row r="95" customFormat="false" ht="15" hidden="false" customHeight="false" outlineLevel="0" collapsed="false">
      <c r="B95" s="22" t="s">
        <v>261</v>
      </c>
      <c r="C95" s="24" t="n">
        <f aca="false">COUNTIF(C2:C92,"✗ Wrong")</f>
        <v>38</v>
      </c>
      <c r="D95" s="24" t="n">
        <f aca="false">COUNTIF(D2:D92,"✗ Wrong")</f>
        <v>0</v>
      </c>
    </row>
    <row r="96" customFormat="false" ht="15" hidden="false" customHeight="false" outlineLevel="0" collapsed="false">
      <c r="B96" s="22" t="s">
        <v>262</v>
      </c>
      <c r="C96" s="22" t="n">
        <v>81</v>
      </c>
      <c r="D96" s="22" t="n">
        <v>81</v>
      </c>
    </row>
    <row r="97" customFormat="false" ht="15" hidden="false" customHeight="false" outlineLevel="0" collapsed="false">
      <c r="B97" s="22" t="s">
        <v>263</v>
      </c>
      <c r="C97" s="25" t="n">
        <f aca="false">C94/81</f>
        <v>0.530864197530864</v>
      </c>
      <c r="D97" s="25" t="n">
        <f aca="false">D94/81</f>
        <v>1</v>
      </c>
    </row>
  </sheetData>
  <mergeCells count="10">
    <mergeCell ref="A2:E2"/>
    <mergeCell ref="A20:E20"/>
    <mergeCell ref="A33:E33"/>
    <mergeCell ref="A40:E40"/>
    <mergeCell ref="A49:E49"/>
    <mergeCell ref="A59:E59"/>
    <mergeCell ref="A67:E67"/>
    <mergeCell ref="A73:E73"/>
    <mergeCell ref="A79:E79"/>
    <mergeCell ref="A85:E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4" min="3" style="0" width="13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5" t="s">
        <v>18</v>
      </c>
      <c r="B1" s="15" t="s">
        <v>19</v>
      </c>
      <c r="C1" s="15" t="s">
        <v>20</v>
      </c>
      <c r="D1" s="15" t="s">
        <v>21</v>
      </c>
      <c r="E1" s="15" t="s">
        <v>22</v>
      </c>
    </row>
    <row r="2" customFormat="false" ht="15" hidden="false" customHeight="false" outlineLevel="0" collapsed="false">
      <c r="A2" s="16" t="s">
        <v>264</v>
      </c>
      <c r="B2" s="16"/>
      <c r="C2" s="16"/>
      <c r="D2" s="16"/>
      <c r="E2" s="16"/>
    </row>
    <row r="3" customFormat="false" ht="15" hidden="false" customHeight="false" outlineLevel="0" collapsed="false">
      <c r="A3" s="17" t="s">
        <v>72</v>
      </c>
      <c r="B3" s="18" t="s">
        <v>265</v>
      </c>
      <c r="C3" s="20" t="s">
        <v>14</v>
      </c>
      <c r="D3" s="20" t="s">
        <v>14</v>
      </c>
      <c r="E3" s="21" t="s">
        <v>266</v>
      </c>
    </row>
    <row r="4" customFormat="false" ht="15" hidden="false" customHeight="false" outlineLevel="0" collapsed="false">
      <c r="A4" s="17" t="s">
        <v>75</v>
      </c>
      <c r="B4" s="18" t="s">
        <v>267</v>
      </c>
      <c r="C4" s="20" t="s">
        <v>14</v>
      </c>
      <c r="D4" s="20" t="s">
        <v>14</v>
      </c>
      <c r="E4" s="21" t="s">
        <v>268</v>
      </c>
    </row>
    <row r="5" customFormat="false" ht="15" hidden="false" customHeight="false" outlineLevel="0" collapsed="false">
      <c r="A5" s="17" t="s">
        <v>78</v>
      </c>
      <c r="B5" s="18" t="s">
        <v>269</v>
      </c>
      <c r="C5" s="19" t="s">
        <v>16</v>
      </c>
      <c r="D5" s="20" t="s">
        <v>14</v>
      </c>
      <c r="E5" s="21" t="s">
        <v>270</v>
      </c>
    </row>
    <row r="6" customFormat="false" ht="15" hidden="false" customHeight="false" outlineLevel="0" collapsed="false">
      <c r="A6" s="17" t="s">
        <v>81</v>
      </c>
      <c r="B6" s="18" t="s">
        <v>271</v>
      </c>
      <c r="C6" s="19" t="s">
        <v>16</v>
      </c>
      <c r="D6" s="20" t="s">
        <v>14</v>
      </c>
      <c r="E6" s="21" t="s">
        <v>272</v>
      </c>
    </row>
    <row r="7" customFormat="false" ht="15" hidden="false" customHeight="false" outlineLevel="0" collapsed="false">
      <c r="A7" s="17" t="s">
        <v>84</v>
      </c>
      <c r="B7" s="18" t="s">
        <v>273</v>
      </c>
      <c r="C7" s="19" t="s">
        <v>16</v>
      </c>
      <c r="D7" s="20" t="s">
        <v>14</v>
      </c>
      <c r="E7" s="21" t="s">
        <v>274</v>
      </c>
    </row>
    <row r="8" customFormat="false" ht="15" hidden="false" customHeight="false" outlineLevel="0" collapsed="false">
      <c r="A8" s="17" t="s">
        <v>87</v>
      </c>
      <c r="B8" s="18" t="s">
        <v>275</v>
      </c>
      <c r="C8" s="20" t="s">
        <v>14</v>
      </c>
      <c r="D8" s="20" t="s">
        <v>14</v>
      </c>
      <c r="E8" s="21" t="s">
        <v>133</v>
      </c>
    </row>
    <row r="9" customFormat="false" ht="15" hidden="false" customHeight="false" outlineLevel="0" collapsed="false">
      <c r="A9" s="17" t="s">
        <v>90</v>
      </c>
      <c r="B9" s="18" t="s">
        <v>276</v>
      </c>
      <c r="C9" s="19" t="s">
        <v>16</v>
      </c>
      <c r="D9" s="20" t="s">
        <v>14</v>
      </c>
      <c r="E9" s="21" t="s">
        <v>277</v>
      </c>
    </row>
    <row r="10" customFormat="false" ht="15" hidden="false" customHeight="false" outlineLevel="0" collapsed="false">
      <c r="A10" s="17" t="s">
        <v>93</v>
      </c>
      <c r="B10" s="18" t="s">
        <v>278</v>
      </c>
      <c r="C10" s="19" t="s">
        <v>16</v>
      </c>
      <c r="D10" s="20" t="s">
        <v>14</v>
      </c>
      <c r="E10" s="21" t="s">
        <v>279</v>
      </c>
    </row>
    <row r="11" customFormat="false" ht="15" hidden="false" customHeight="false" outlineLevel="0" collapsed="false">
      <c r="A11" s="17" t="s">
        <v>96</v>
      </c>
      <c r="B11" s="18" t="s">
        <v>280</v>
      </c>
      <c r="C11" s="20" t="s">
        <v>14</v>
      </c>
      <c r="D11" s="20" t="s">
        <v>14</v>
      </c>
      <c r="E11" s="21" t="s">
        <v>281</v>
      </c>
    </row>
    <row r="12" customFormat="false" ht="15" hidden="false" customHeight="false" outlineLevel="0" collapsed="false">
      <c r="A12" s="17" t="s">
        <v>99</v>
      </c>
      <c r="B12" s="18" t="s">
        <v>282</v>
      </c>
      <c r="C12" s="20" t="s">
        <v>14</v>
      </c>
      <c r="D12" s="20" t="s">
        <v>14</v>
      </c>
      <c r="E12" s="21" t="s">
        <v>283</v>
      </c>
    </row>
    <row r="13" customFormat="false" ht="15" hidden="false" customHeight="false" outlineLevel="0" collapsed="false">
      <c r="A13" s="17" t="s">
        <v>102</v>
      </c>
      <c r="B13" s="18" t="s">
        <v>284</v>
      </c>
      <c r="C13" s="19" t="s">
        <v>16</v>
      </c>
      <c r="D13" s="20" t="s">
        <v>14</v>
      </c>
      <c r="E13" s="21" t="s">
        <v>285</v>
      </c>
    </row>
    <row r="14" customFormat="false" ht="15" hidden="false" customHeight="false" outlineLevel="0" collapsed="false">
      <c r="A14" s="17" t="s">
        <v>105</v>
      </c>
      <c r="B14" s="18" t="s">
        <v>286</v>
      </c>
      <c r="C14" s="20" t="s">
        <v>14</v>
      </c>
      <c r="D14" s="20" t="s">
        <v>14</v>
      </c>
      <c r="E14" s="21" t="s">
        <v>287</v>
      </c>
    </row>
    <row r="15" customFormat="false" ht="15" hidden="false" customHeight="false" outlineLevel="0" collapsed="false">
      <c r="A15" s="17" t="s">
        <v>288</v>
      </c>
      <c r="B15" s="18" t="s">
        <v>289</v>
      </c>
      <c r="C15" s="19" t="s">
        <v>16</v>
      </c>
      <c r="D15" s="20" t="s">
        <v>14</v>
      </c>
      <c r="E15" s="21" t="s">
        <v>285</v>
      </c>
    </row>
    <row r="16" customFormat="false" ht="15" hidden="false" customHeight="false" outlineLevel="0" collapsed="false">
      <c r="A16" s="16" t="s">
        <v>290</v>
      </c>
      <c r="B16" s="16"/>
      <c r="C16" s="16"/>
      <c r="D16" s="16"/>
      <c r="E16" s="16"/>
    </row>
    <row r="17" customFormat="false" ht="15" hidden="false" customHeight="false" outlineLevel="0" collapsed="false">
      <c r="A17" s="17" t="s">
        <v>109</v>
      </c>
      <c r="B17" s="18" t="s">
        <v>291</v>
      </c>
      <c r="C17" s="19" t="s">
        <v>16</v>
      </c>
      <c r="D17" s="20" t="s">
        <v>14</v>
      </c>
      <c r="E17" s="21" t="s">
        <v>292</v>
      </c>
    </row>
    <row r="18" customFormat="false" ht="15" hidden="false" customHeight="false" outlineLevel="0" collapsed="false">
      <c r="A18" s="17" t="s">
        <v>112</v>
      </c>
      <c r="B18" s="18" t="s">
        <v>293</v>
      </c>
      <c r="C18" s="20" t="s">
        <v>14</v>
      </c>
      <c r="D18" s="20" t="s">
        <v>14</v>
      </c>
      <c r="E18" s="21" t="s">
        <v>294</v>
      </c>
    </row>
    <row r="19" customFormat="false" ht="15" hidden="false" customHeight="false" outlineLevel="0" collapsed="false">
      <c r="A19" s="17" t="s">
        <v>114</v>
      </c>
      <c r="B19" s="18" t="s">
        <v>295</v>
      </c>
      <c r="C19" s="19" t="s">
        <v>16</v>
      </c>
      <c r="D19" s="20" t="s">
        <v>14</v>
      </c>
      <c r="E19" s="21" t="s">
        <v>296</v>
      </c>
    </row>
    <row r="20" customFormat="false" ht="15" hidden="false" customHeight="false" outlineLevel="0" collapsed="false">
      <c r="A20" s="17" t="s">
        <v>116</v>
      </c>
      <c r="B20" s="18" t="s">
        <v>297</v>
      </c>
      <c r="C20" s="20" t="s">
        <v>14</v>
      </c>
      <c r="D20" s="20" t="s">
        <v>14</v>
      </c>
      <c r="E20" s="21" t="s">
        <v>133</v>
      </c>
    </row>
    <row r="21" customFormat="false" ht="15" hidden="false" customHeight="false" outlineLevel="0" collapsed="false">
      <c r="A21" s="17" t="s">
        <v>118</v>
      </c>
      <c r="B21" s="18" t="s">
        <v>298</v>
      </c>
      <c r="C21" s="19" t="s">
        <v>16</v>
      </c>
      <c r="D21" s="20" t="s">
        <v>14</v>
      </c>
      <c r="E21" s="21" t="s">
        <v>299</v>
      </c>
    </row>
    <row r="22" customFormat="false" ht="15" hidden="false" customHeight="false" outlineLevel="0" collapsed="false">
      <c r="A22" s="17" t="s">
        <v>121</v>
      </c>
      <c r="B22" s="18" t="s">
        <v>300</v>
      </c>
      <c r="C22" s="19" t="s">
        <v>16</v>
      </c>
      <c r="D22" s="20" t="s">
        <v>14</v>
      </c>
      <c r="E22" s="21" t="s">
        <v>301</v>
      </c>
    </row>
    <row r="23" customFormat="false" ht="15" hidden="false" customHeight="false" outlineLevel="0" collapsed="false">
      <c r="A23" s="17" t="s">
        <v>302</v>
      </c>
      <c r="B23" s="18" t="s">
        <v>303</v>
      </c>
      <c r="C23" s="20" t="s">
        <v>14</v>
      </c>
      <c r="D23" s="20" t="s">
        <v>14</v>
      </c>
      <c r="E23" s="21" t="s">
        <v>304</v>
      </c>
    </row>
    <row r="24" customFormat="false" ht="15" hidden="false" customHeight="false" outlineLevel="0" collapsed="false">
      <c r="A24" s="16" t="s">
        <v>305</v>
      </c>
      <c r="B24" s="16"/>
      <c r="C24" s="16"/>
      <c r="D24" s="16"/>
      <c r="E24" s="16"/>
    </row>
    <row r="25" customFormat="false" ht="15" hidden="false" customHeight="false" outlineLevel="0" collapsed="false">
      <c r="A25" s="17" t="s">
        <v>125</v>
      </c>
      <c r="B25" s="18" t="s">
        <v>306</v>
      </c>
      <c r="C25" s="20" t="s">
        <v>14</v>
      </c>
      <c r="D25" s="20" t="s">
        <v>14</v>
      </c>
      <c r="E25" s="21" t="s">
        <v>307</v>
      </c>
    </row>
    <row r="26" customFormat="false" ht="15" hidden="false" customHeight="false" outlineLevel="0" collapsed="false">
      <c r="A26" s="17" t="s">
        <v>128</v>
      </c>
      <c r="B26" s="18" t="s">
        <v>308</v>
      </c>
      <c r="C26" s="20" t="s">
        <v>14</v>
      </c>
      <c r="D26" s="20" t="s">
        <v>14</v>
      </c>
      <c r="E26" s="21" t="s">
        <v>309</v>
      </c>
    </row>
    <row r="27" customFormat="false" ht="15" hidden="false" customHeight="false" outlineLevel="0" collapsed="false">
      <c r="A27" s="17" t="s">
        <v>131</v>
      </c>
      <c r="B27" s="18" t="s">
        <v>310</v>
      </c>
      <c r="C27" s="20" t="s">
        <v>14</v>
      </c>
      <c r="D27" s="20" t="s">
        <v>14</v>
      </c>
      <c r="E27" s="21" t="s">
        <v>311</v>
      </c>
    </row>
    <row r="28" customFormat="false" ht="15" hidden="false" customHeight="false" outlineLevel="0" collapsed="false">
      <c r="A28" s="17" t="s">
        <v>134</v>
      </c>
      <c r="B28" s="18" t="s">
        <v>312</v>
      </c>
      <c r="C28" s="20" t="s">
        <v>14</v>
      </c>
      <c r="D28" s="20" t="s">
        <v>14</v>
      </c>
      <c r="E28" s="21" t="s">
        <v>313</v>
      </c>
    </row>
    <row r="29" customFormat="false" ht="15" hidden="false" customHeight="false" outlineLevel="0" collapsed="false">
      <c r="A29" s="17" t="s">
        <v>137</v>
      </c>
      <c r="B29" s="18" t="s">
        <v>314</v>
      </c>
      <c r="C29" s="20" t="s">
        <v>14</v>
      </c>
      <c r="D29" s="20" t="s">
        <v>14</v>
      </c>
      <c r="E29" s="21" t="s">
        <v>315</v>
      </c>
    </row>
    <row r="30" customFormat="false" ht="15" hidden="false" customHeight="false" outlineLevel="0" collapsed="false">
      <c r="A30" s="17" t="s">
        <v>140</v>
      </c>
      <c r="B30" s="18" t="s">
        <v>316</v>
      </c>
      <c r="C30" s="20" t="s">
        <v>14</v>
      </c>
      <c r="D30" s="20" t="s">
        <v>14</v>
      </c>
      <c r="E30" s="21" t="s">
        <v>317</v>
      </c>
    </row>
    <row r="31" customFormat="false" ht="15" hidden="false" customHeight="false" outlineLevel="0" collapsed="false">
      <c r="A31" s="17" t="s">
        <v>143</v>
      </c>
      <c r="B31" s="18" t="s">
        <v>318</v>
      </c>
      <c r="C31" s="20" t="s">
        <v>14</v>
      </c>
      <c r="D31" s="20" t="s">
        <v>14</v>
      </c>
      <c r="E31" s="21" t="s">
        <v>190</v>
      </c>
    </row>
    <row r="32" customFormat="false" ht="15" hidden="false" customHeight="false" outlineLevel="0" collapsed="false">
      <c r="A32" s="16" t="s">
        <v>319</v>
      </c>
      <c r="B32" s="16"/>
      <c r="C32" s="16"/>
      <c r="D32" s="16"/>
      <c r="E32" s="16"/>
    </row>
    <row r="33" customFormat="false" ht="15" hidden="false" customHeight="false" outlineLevel="0" collapsed="false">
      <c r="A33" s="17" t="s">
        <v>150</v>
      </c>
      <c r="B33" s="18" t="s">
        <v>320</v>
      </c>
      <c r="C33" s="20" t="s">
        <v>14</v>
      </c>
      <c r="D33" s="20" t="s">
        <v>14</v>
      </c>
      <c r="E33" s="21" t="s">
        <v>321</v>
      </c>
    </row>
    <row r="34" customFormat="false" ht="15" hidden="false" customHeight="false" outlineLevel="0" collapsed="false">
      <c r="A34" s="17" t="s">
        <v>322</v>
      </c>
      <c r="B34" s="18" t="s">
        <v>323</v>
      </c>
      <c r="C34" s="19" t="s">
        <v>16</v>
      </c>
      <c r="D34" s="20" t="s">
        <v>14</v>
      </c>
      <c r="E34" s="21" t="s">
        <v>324</v>
      </c>
    </row>
    <row r="35" customFormat="false" ht="15" hidden="false" customHeight="false" outlineLevel="0" collapsed="false">
      <c r="A35" s="17" t="s">
        <v>325</v>
      </c>
      <c r="B35" s="18" t="s">
        <v>326</v>
      </c>
      <c r="C35" s="19" t="s">
        <v>16</v>
      </c>
      <c r="D35" s="20" t="s">
        <v>14</v>
      </c>
      <c r="E35" s="21" t="s">
        <v>327</v>
      </c>
    </row>
    <row r="36" customFormat="false" ht="15" hidden="false" customHeight="false" outlineLevel="0" collapsed="false">
      <c r="A36" s="17" t="s">
        <v>328</v>
      </c>
      <c r="B36" s="18" t="s">
        <v>329</v>
      </c>
      <c r="C36" s="19" t="s">
        <v>16</v>
      </c>
      <c r="D36" s="20" t="s">
        <v>14</v>
      </c>
      <c r="E36" s="21" t="s">
        <v>330</v>
      </c>
    </row>
    <row r="37" customFormat="false" ht="15" hidden="false" customHeight="false" outlineLevel="0" collapsed="false">
      <c r="A37" s="17" t="s">
        <v>331</v>
      </c>
      <c r="B37" s="18" t="s">
        <v>332</v>
      </c>
      <c r="C37" s="20" t="s">
        <v>14</v>
      </c>
      <c r="D37" s="20" t="s">
        <v>14</v>
      </c>
      <c r="E37" s="21" t="s">
        <v>333</v>
      </c>
    </row>
    <row r="38" customFormat="false" ht="15" hidden="false" customHeight="false" outlineLevel="0" collapsed="false">
      <c r="A38" s="17" t="s">
        <v>334</v>
      </c>
      <c r="B38" s="18" t="s">
        <v>335</v>
      </c>
      <c r="C38" s="20" t="s">
        <v>14</v>
      </c>
      <c r="D38" s="20" t="s">
        <v>14</v>
      </c>
      <c r="E38" s="21" t="s">
        <v>336</v>
      </c>
    </row>
    <row r="39" customFormat="false" ht="15" hidden="false" customHeight="false" outlineLevel="0" collapsed="false">
      <c r="A39" s="17" t="s">
        <v>337</v>
      </c>
      <c r="B39" s="18" t="s">
        <v>338</v>
      </c>
      <c r="C39" s="20" t="s">
        <v>14</v>
      </c>
      <c r="D39" s="20" t="s">
        <v>14</v>
      </c>
      <c r="E39" s="21" t="s">
        <v>339</v>
      </c>
    </row>
    <row r="40" customFormat="false" ht="15" hidden="false" customHeight="false" outlineLevel="0" collapsed="false">
      <c r="A40" s="17" t="s">
        <v>158</v>
      </c>
      <c r="B40" s="18" t="s">
        <v>340</v>
      </c>
      <c r="C40" s="20" t="s">
        <v>14</v>
      </c>
      <c r="D40" s="20" t="s">
        <v>14</v>
      </c>
      <c r="E40" s="21" t="s">
        <v>341</v>
      </c>
    </row>
    <row r="41" customFormat="false" ht="15" hidden="false" customHeight="false" outlineLevel="0" collapsed="false">
      <c r="A41" s="17" t="s">
        <v>161</v>
      </c>
      <c r="B41" s="18" t="s">
        <v>342</v>
      </c>
      <c r="C41" s="19" t="s">
        <v>16</v>
      </c>
      <c r="D41" s="20" t="s">
        <v>14</v>
      </c>
      <c r="E41" s="21" t="s">
        <v>343</v>
      </c>
    </row>
    <row r="42" customFormat="false" ht="15" hidden="false" customHeight="false" outlineLevel="0" collapsed="false">
      <c r="A42" s="17" t="s">
        <v>164</v>
      </c>
      <c r="B42" s="18" t="s">
        <v>344</v>
      </c>
      <c r="C42" s="19" t="s">
        <v>16</v>
      </c>
      <c r="D42" s="20" t="s">
        <v>14</v>
      </c>
      <c r="E42" s="21" t="s">
        <v>345</v>
      </c>
    </row>
    <row r="43" customFormat="false" ht="15" hidden="false" customHeight="false" outlineLevel="0" collapsed="false">
      <c r="A43" s="17" t="s">
        <v>346</v>
      </c>
      <c r="B43" s="18" t="s">
        <v>347</v>
      </c>
      <c r="C43" s="19" t="s">
        <v>16</v>
      </c>
      <c r="D43" s="20" t="s">
        <v>14</v>
      </c>
      <c r="E43" s="21" t="s">
        <v>348</v>
      </c>
    </row>
    <row r="44" customFormat="false" ht="15" hidden="false" customHeight="false" outlineLevel="0" collapsed="false">
      <c r="A44" s="17" t="s">
        <v>349</v>
      </c>
      <c r="B44" s="18" t="s">
        <v>350</v>
      </c>
      <c r="C44" s="19" t="s">
        <v>16</v>
      </c>
      <c r="D44" s="20" t="s">
        <v>14</v>
      </c>
      <c r="E44" s="21" t="s">
        <v>348</v>
      </c>
    </row>
    <row r="45" customFormat="false" ht="15" hidden="false" customHeight="false" outlineLevel="0" collapsed="false">
      <c r="A45" s="17" t="s">
        <v>351</v>
      </c>
      <c r="B45" s="18" t="s">
        <v>352</v>
      </c>
      <c r="C45" s="19" t="s">
        <v>16</v>
      </c>
      <c r="D45" s="20" t="s">
        <v>14</v>
      </c>
      <c r="E45" s="21" t="s">
        <v>348</v>
      </c>
    </row>
    <row r="46" customFormat="false" ht="15" hidden="false" customHeight="false" outlineLevel="0" collapsed="false">
      <c r="A46" s="17" t="s">
        <v>353</v>
      </c>
      <c r="B46" s="18" t="s">
        <v>354</v>
      </c>
      <c r="C46" s="19" t="s">
        <v>16</v>
      </c>
      <c r="D46" s="20" t="s">
        <v>14</v>
      </c>
      <c r="E46" s="21" t="s">
        <v>348</v>
      </c>
    </row>
    <row r="47" customFormat="false" ht="15" hidden="false" customHeight="false" outlineLevel="0" collapsed="false">
      <c r="A47" s="17" t="s">
        <v>355</v>
      </c>
      <c r="B47" s="18" t="s">
        <v>356</v>
      </c>
      <c r="C47" s="19" t="s">
        <v>16</v>
      </c>
      <c r="D47" s="20" t="s">
        <v>14</v>
      </c>
      <c r="E47" s="21" t="s">
        <v>348</v>
      </c>
    </row>
    <row r="48" customFormat="false" ht="15" hidden="false" customHeight="false" outlineLevel="0" collapsed="false">
      <c r="A48" s="16" t="s">
        <v>175</v>
      </c>
      <c r="B48" s="16"/>
      <c r="C48" s="16"/>
      <c r="D48" s="16"/>
      <c r="E48" s="16"/>
    </row>
    <row r="49" customFormat="false" ht="15" hidden="false" customHeight="false" outlineLevel="0" collapsed="false">
      <c r="A49" s="17" t="s">
        <v>357</v>
      </c>
      <c r="B49" s="18" t="s">
        <v>358</v>
      </c>
      <c r="C49" s="19" t="s">
        <v>16</v>
      </c>
      <c r="D49" s="20" t="s">
        <v>14</v>
      </c>
      <c r="E49" s="21" t="s">
        <v>359</v>
      </c>
    </row>
    <row r="50" customFormat="false" ht="15" hidden="false" customHeight="false" outlineLevel="0" collapsed="false">
      <c r="A50" s="17" t="s">
        <v>360</v>
      </c>
      <c r="B50" s="18" t="s">
        <v>361</v>
      </c>
      <c r="C50" s="19" t="s">
        <v>16</v>
      </c>
      <c r="D50" s="20" t="s">
        <v>14</v>
      </c>
      <c r="E50" s="21" t="s">
        <v>362</v>
      </c>
    </row>
    <row r="51" customFormat="false" ht="15" hidden="false" customHeight="false" outlineLevel="0" collapsed="false">
      <c r="A51" s="17" t="s">
        <v>363</v>
      </c>
      <c r="B51" s="18" t="s">
        <v>364</v>
      </c>
      <c r="C51" s="19" t="s">
        <v>16</v>
      </c>
      <c r="D51" s="20" t="s">
        <v>14</v>
      </c>
      <c r="E51" s="21" t="s">
        <v>365</v>
      </c>
    </row>
    <row r="52" customFormat="false" ht="15" hidden="false" customHeight="false" outlineLevel="0" collapsed="false">
      <c r="A52" s="17" t="s">
        <v>366</v>
      </c>
      <c r="B52" s="18" t="s">
        <v>367</v>
      </c>
      <c r="C52" s="19" t="s">
        <v>16</v>
      </c>
      <c r="D52" s="20" t="s">
        <v>14</v>
      </c>
      <c r="E52" s="21" t="s">
        <v>368</v>
      </c>
    </row>
    <row r="53" customFormat="false" ht="15" hidden="false" customHeight="false" outlineLevel="0" collapsed="false">
      <c r="A53" s="17" t="s">
        <v>369</v>
      </c>
      <c r="B53" s="18" t="s">
        <v>370</v>
      </c>
      <c r="C53" s="19" t="s">
        <v>16</v>
      </c>
      <c r="D53" s="20" t="s">
        <v>14</v>
      </c>
      <c r="E53" s="21" t="s">
        <v>368</v>
      </c>
    </row>
    <row r="54" customFormat="false" ht="15" hidden="false" customHeight="false" outlineLevel="0" collapsed="false">
      <c r="A54" s="17" t="s">
        <v>371</v>
      </c>
      <c r="B54" s="18" t="s">
        <v>372</v>
      </c>
      <c r="C54" s="20" t="s">
        <v>14</v>
      </c>
      <c r="D54" s="20" t="s">
        <v>14</v>
      </c>
      <c r="E54" s="21" t="s">
        <v>373</v>
      </c>
    </row>
    <row r="55" customFormat="false" ht="15" hidden="false" customHeight="false" outlineLevel="0" collapsed="false">
      <c r="A55" s="17" t="s">
        <v>182</v>
      </c>
      <c r="B55" s="18" t="s">
        <v>374</v>
      </c>
      <c r="C55" s="20" t="s">
        <v>14</v>
      </c>
      <c r="D55" s="20" t="s">
        <v>14</v>
      </c>
      <c r="E55" s="21" t="s">
        <v>375</v>
      </c>
    </row>
    <row r="56" customFormat="false" ht="15" hidden="false" customHeight="false" outlineLevel="0" collapsed="false">
      <c r="A56" s="17" t="s">
        <v>185</v>
      </c>
      <c r="B56" s="18" t="s">
        <v>376</v>
      </c>
      <c r="C56" s="20" t="s">
        <v>14</v>
      </c>
      <c r="D56" s="20" t="s">
        <v>14</v>
      </c>
      <c r="E56" s="21" t="s">
        <v>377</v>
      </c>
    </row>
    <row r="57" customFormat="false" ht="15" hidden="false" customHeight="false" outlineLevel="0" collapsed="false">
      <c r="A57" s="16" t="s">
        <v>378</v>
      </c>
      <c r="B57" s="16"/>
      <c r="C57" s="16"/>
      <c r="D57" s="16"/>
      <c r="E57" s="16"/>
    </row>
    <row r="58" customFormat="false" ht="15" hidden="false" customHeight="false" outlineLevel="0" collapsed="false">
      <c r="A58" s="17" t="s">
        <v>198</v>
      </c>
      <c r="B58" s="18" t="s">
        <v>379</v>
      </c>
      <c r="C58" s="20" t="s">
        <v>14</v>
      </c>
      <c r="D58" s="20" t="s">
        <v>14</v>
      </c>
      <c r="E58" s="21" t="s">
        <v>380</v>
      </c>
    </row>
    <row r="59" customFormat="false" ht="15" hidden="false" customHeight="false" outlineLevel="0" collapsed="false">
      <c r="A59" s="17" t="s">
        <v>201</v>
      </c>
      <c r="B59" s="18" t="s">
        <v>381</v>
      </c>
      <c r="C59" s="19" t="s">
        <v>16</v>
      </c>
      <c r="D59" s="19" t="s">
        <v>16</v>
      </c>
      <c r="E59" s="21" t="s">
        <v>382</v>
      </c>
    </row>
    <row r="60" customFormat="false" ht="15" hidden="false" customHeight="false" outlineLevel="0" collapsed="false">
      <c r="A60" s="17" t="s">
        <v>204</v>
      </c>
      <c r="B60" s="18" t="s">
        <v>383</v>
      </c>
      <c r="C60" s="19" t="s">
        <v>16</v>
      </c>
      <c r="D60" s="19" t="s">
        <v>16</v>
      </c>
      <c r="E60" s="21" t="s">
        <v>382</v>
      </c>
    </row>
    <row r="61" customFormat="false" ht="15" hidden="false" customHeight="false" outlineLevel="0" collapsed="false">
      <c r="A61" s="17" t="s">
        <v>206</v>
      </c>
      <c r="B61" s="18" t="s">
        <v>384</v>
      </c>
      <c r="C61" s="20" t="s">
        <v>14</v>
      </c>
      <c r="D61" s="20" t="s">
        <v>14</v>
      </c>
      <c r="E61" s="21" t="s">
        <v>385</v>
      </c>
    </row>
    <row r="62" customFormat="false" ht="15" hidden="false" customHeight="false" outlineLevel="0" collapsed="false">
      <c r="A62" s="17" t="s">
        <v>209</v>
      </c>
      <c r="B62" s="18" t="s">
        <v>386</v>
      </c>
      <c r="C62" s="20" t="s">
        <v>14</v>
      </c>
      <c r="D62" s="20" t="s">
        <v>14</v>
      </c>
      <c r="E62" s="21" t="s">
        <v>387</v>
      </c>
    </row>
    <row r="63" customFormat="false" ht="15" hidden="false" customHeight="false" outlineLevel="0" collapsed="false">
      <c r="A63" s="17" t="s">
        <v>388</v>
      </c>
      <c r="B63" s="18" t="s">
        <v>389</v>
      </c>
      <c r="C63" s="20" t="s">
        <v>14</v>
      </c>
      <c r="D63" s="20" t="s">
        <v>14</v>
      </c>
      <c r="E63" s="21" t="s">
        <v>214</v>
      </c>
    </row>
    <row r="64" customFormat="false" ht="15" hidden="false" customHeight="false" outlineLevel="0" collapsed="false">
      <c r="A64" s="17" t="s">
        <v>390</v>
      </c>
      <c r="B64" s="18" t="s">
        <v>391</v>
      </c>
      <c r="C64" s="19" t="s">
        <v>16</v>
      </c>
      <c r="D64" s="20" t="s">
        <v>14</v>
      </c>
      <c r="E64" s="21" t="s">
        <v>392</v>
      </c>
    </row>
    <row r="65" customFormat="false" ht="15" hidden="false" customHeight="false" outlineLevel="0" collapsed="false">
      <c r="A65" s="17" t="s">
        <v>393</v>
      </c>
      <c r="B65" s="18" t="s">
        <v>394</v>
      </c>
      <c r="C65" s="19" t="s">
        <v>16</v>
      </c>
      <c r="D65" s="20" t="s">
        <v>14</v>
      </c>
      <c r="E65" s="21" t="s">
        <v>392</v>
      </c>
    </row>
    <row r="66" customFormat="false" ht="15" hidden="false" customHeight="false" outlineLevel="0" collapsed="false">
      <c r="A66" s="16" t="s">
        <v>395</v>
      </c>
      <c r="B66" s="16"/>
      <c r="C66" s="16"/>
      <c r="D66" s="16"/>
      <c r="E66" s="16"/>
    </row>
    <row r="67" customFormat="false" ht="15" hidden="false" customHeight="false" outlineLevel="0" collapsed="false">
      <c r="A67" s="17" t="s">
        <v>212</v>
      </c>
      <c r="B67" s="18" t="s">
        <v>396</v>
      </c>
      <c r="C67" s="19" t="s">
        <v>16</v>
      </c>
      <c r="D67" s="20" t="s">
        <v>14</v>
      </c>
      <c r="E67" s="21" t="s">
        <v>397</v>
      </c>
    </row>
    <row r="68" customFormat="false" ht="15" hidden="false" customHeight="false" outlineLevel="0" collapsed="false">
      <c r="A68" s="17" t="s">
        <v>215</v>
      </c>
      <c r="B68" s="18" t="s">
        <v>398</v>
      </c>
      <c r="C68" s="20" t="s">
        <v>14</v>
      </c>
      <c r="D68" s="20" t="s">
        <v>14</v>
      </c>
      <c r="E68" s="21" t="s">
        <v>399</v>
      </c>
    </row>
    <row r="69" customFormat="false" ht="15" hidden="false" customHeight="false" outlineLevel="0" collapsed="false">
      <c r="A69" s="17" t="s">
        <v>400</v>
      </c>
      <c r="B69" s="18" t="s">
        <v>401</v>
      </c>
      <c r="C69" s="19" t="s">
        <v>16</v>
      </c>
      <c r="D69" s="20" t="s">
        <v>14</v>
      </c>
      <c r="E69" s="21" t="s">
        <v>402</v>
      </c>
    </row>
    <row r="70" customFormat="false" ht="15" hidden="false" customHeight="false" outlineLevel="0" collapsed="false">
      <c r="A70" s="17" t="s">
        <v>403</v>
      </c>
      <c r="B70" s="18" t="s">
        <v>404</v>
      </c>
      <c r="C70" s="19" t="s">
        <v>16</v>
      </c>
      <c r="D70" s="20" t="s">
        <v>14</v>
      </c>
      <c r="E70" s="21" t="s">
        <v>402</v>
      </c>
    </row>
    <row r="71" customFormat="false" ht="15" hidden="false" customHeight="false" outlineLevel="0" collapsed="false">
      <c r="A71" s="17" t="s">
        <v>221</v>
      </c>
      <c r="B71" s="18" t="s">
        <v>405</v>
      </c>
      <c r="C71" s="19" t="s">
        <v>16</v>
      </c>
      <c r="D71" s="20" t="s">
        <v>14</v>
      </c>
      <c r="E71" s="21" t="s">
        <v>406</v>
      </c>
    </row>
    <row r="72" customFormat="false" ht="15" hidden="false" customHeight="false" outlineLevel="0" collapsed="false">
      <c r="A72" s="17" t="s">
        <v>223</v>
      </c>
      <c r="B72" s="18" t="s">
        <v>407</v>
      </c>
      <c r="C72" s="19" t="s">
        <v>16</v>
      </c>
      <c r="D72" s="20" t="s">
        <v>14</v>
      </c>
      <c r="E72" s="21" t="s">
        <v>408</v>
      </c>
    </row>
    <row r="73" customFormat="false" ht="15" hidden="false" customHeight="false" outlineLevel="0" collapsed="false">
      <c r="A73" s="17" t="s">
        <v>409</v>
      </c>
      <c r="B73" s="18" t="s">
        <v>410</v>
      </c>
      <c r="C73" s="20" t="s">
        <v>14</v>
      </c>
      <c r="D73" s="20" t="s">
        <v>14</v>
      </c>
      <c r="E73" s="21" t="s">
        <v>184</v>
      </c>
    </row>
    <row r="74" customFormat="false" ht="15" hidden="false" customHeight="false" outlineLevel="0" collapsed="false">
      <c r="A74" s="17" t="s">
        <v>411</v>
      </c>
      <c r="B74" s="18" t="s">
        <v>412</v>
      </c>
      <c r="C74" s="19" t="s">
        <v>16</v>
      </c>
      <c r="D74" s="20" t="s">
        <v>14</v>
      </c>
      <c r="E74" s="21" t="s">
        <v>413</v>
      </c>
    </row>
    <row r="75" customFormat="false" ht="15" hidden="false" customHeight="false" outlineLevel="0" collapsed="false">
      <c r="A75" s="16" t="s">
        <v>226</v>
      </c>
      <c r="B75" s="16"/>
      <c r="C75" s="16"/>
      <c r="D75" s="16"/>
      <c r="E75" s="16"/>
    </row>
    <row r="76" customFormat="false" ht="15" hidden="false" customHeight="false" outlineLevel="0" collapsed="false">
      <c r="A76" s="17" t="s">
        <v>227</v>
      </c>
      <c r="B76" s="18" t="s">
        <v>414</v>
      </c>
      <c r="C76" s="19" t="s">
        <v>16</v>
      </c>
      <c r="D76" s="20" t="s">
        <v>14</v>
      </c>
      <c r="E76" s="21" t="s">
        <v>415</v>
      </c>
    </row>
    <row r="77" customFormat="false" ht="15" hidden="false" customHeight="false" outlineLevel="0" collapsed="false">
      <c r="A77" s="17" t="s">
        <v>230</v>
      </c>
      <c r="B77" s="18" t="s">
        <v>416</v>
      </c>
      <c r="C77" s="20" t="s">
        <v>14</v>
      </c>
      <c r="D77" s="20" t="s">
        <v>14</v>
      </c>
      <c r="E77" s="21" t="s">
        <v>225</v>
      </c>
    </row>
    <row r="78" customFormat="false" ht="15" hidden="false" customHeight="false" outlineLevel="0" collapsed="false">
      <c r="A78" s="17" t="s">
        <v>233</v>
      </c>
      <c r="B78" s="18" t="s">
        <v>417</v>
      </c>
      <c r="C78" s="19" t="s">
        <v>16</v>
      </c>
      <c r="D78" s="20" t="s">
        <v>14</v>
      </c>
      <c r="E78" s="21" t="s">
        <v>418</v>
      </c>
    </row>
    <row r="79" customFormat="false" ht="15" hidden="false" customHeight="false" outlineLevel="0" collapsed="false">
      <c r="A79" s="17" t="s">
        <v>236</v>
      </c>
      <c r="B79" s="18" t="s">
        <v>419</v>
      </c>
      <c r="C79" s="19" t="s">
        <v>16</v>
      </c>
      <c r="D79" s="20" t="s">
        <v>14</v>
      </c>
      <c r="E79" s="21" t="s">
        <v>229</v>
      </c>
    </row>
    <row r="80" customFormat="false" ht="15" hidden="false" customHeight="false" outlineLevel="0" collapsed="false">
      <c r="A80" s="17" t="s">
        <v>239</v>
      </c>
      <c r="B80" s="18" t="s">
        <v>420</v>
      </c>
      <c r="C80" s="19" t="s">
        <v>16</v>
      </c>
      <c r="D80" s="20" t="s">
        <v>14</v>
      </c>
      <c r="E80" s="21" t="s">
        <v>421</v>
      </c>
    </row>
    <row r="81" customFormat="false" ht="15" hidden="false" customHeight="false" outlineLevel="0" collapsed="false">
      <c r="A81" s="17" t="s">
        <v>422</v>
      </c>
      <c r="B81" s="18" t="s">
        <v>423</v>
      </c>
      <c r="C81" s="19" t="s">
        <v>16</v>
      </c>
      <c r="D81" s="20" t="s">
        <v>14</v>
      </c>
      <c r="E81" s="21" t="s">
        <v>424</v>
      </c>
    </row>
    <row r="82" customFormat="false" ht="15" hidden="false" customHeight="false" outlineLevel="0" collapsed="false">
      <c r="A82" s="16" t="s">
        <v>425</v>
      </c>
      <c r="B82" s="16"/>
      <c r="C82" s="16"/>
      <c r="D82" s="16"/>
      <c r="E82" s="16"/>
    </row>
    <row r="83" customFormat="false" ht="15" hidden="false" customHeight="false" outlineLevel="0" collapsed="false">
      <c r="A83" s="17" t="s">
        <v>243</v>
      </c>
      <c r="B83" s="18" t="s">
        <v>426</v>
      </c>
      <c r="C83" s="19" t="s">
        <v>16</v>
      </c>
      <c r="D83" s="20" t="s">
        <v>14</v>
      </c>
      <c r="E83" s="21" t="s">
        <v>427</v>
      </c>
    </row>
    <row r="84" customFormat="false" ht="15" hidden="false" customHeight="false" outlineLevel="0" collapsed="false">
      <c r="A84" s="17" t="s">
        <v>246</v>
      </c>
      <c r="B84" s="18" t="s">
        <v>428</v>
      </c>
      <c r="C84" s="19" t="s">
        <v>16</v>
      </c>
      <c r="D84" s="20" t="s">
        <v>14</v>
      </c>
      <c r="E84" s="21" t="s">
        <v>429</v>
      </c>
    </row>
    <row r="85" customFormat="false" ht="15" hidden="false" customHeight="false" outlineLevel="0" collapsed="false">
      <c r="A85" s="17" t="s">
        <v>430</v>
      </c>
      <c r="B85" s="18" t="s">
        <v>431</v>
      </c>
      <c r="C85" s="19" t="s">
        <v>16</v>
      </c>
      <c r="D85" s="20" t="s">
        <v>14</v>
      </c>
      <c r="E85" s="21" t="s">
        <v>432</v>
      </c>
    </row>
    <row r="86" customFormat="false" ht="15" hidden="false" customHeight="false" outlineLevel="0" collapsed="false">
      <c r="A86" s="17" t="s">
        <v>433</v>
      </c>
      <c r="B86" s="18" t="s">
        <v>434</v>
      </c>
      <c r="C86" s="19" t="s">
        <v>16</v>
      </c>
      <c r="D86" s="20" t="s">
        <v>14</v>
      </c>
      <c r="E86" s="21" t="s">
        <v>432</v>
      </c>
    </row>
    <row r="88" customFormat="false" ht="15" hidden="false" customHeight="false" outlineLevel="0" collapsed="false">
      <c r="A88" s="22" t="s">
        <v>259</v>
      </c>
      <c r="B88" s="22" t="s">
        <v>260</v>
      </c>
      <c r="C88" s="23" t="n">
        <f aca="false">COUNTIF(C2:C86,"✓ Correct")</f>
        <v>31</v>
      </c>
      <c r="D88" s="23" t="n">
        <f aca="false">COUNTIF(D2:D86,"✓ Correct")</f>
        <v>74</v>
      </c>
    </row>
    <row r="89" customFormat="false" ht="15" hidden="false" customHeight="false" outlineLevel="0" collapsed="false">
      <c r="B89" s="22" t="s">
        <v>261</v>
      </c>
      <c r="C89" s="24" t="n">
        <f aca="false">COUNTIF(C2:C86,"✗ Wrong")</f>
        <v>45</v>
      </c>
      <c r="D89" s="24" t="n">
        <f aca="false">COUNTIF(D2:D86,"✗ Wrong")</f>
        <v>2</v>
      </c>
    </row>
    <row r="90" customFormat="false" ht="15" hidden="false" customHeight="false" outlineLevel="0" collapsed="false">
      <c r="B90" s="22" t="s">
        <v>262</v>
      </c>
      <c r="C90" s="22" t="n">
        <v>76</v>
      </c>
      <c r="D90" s="22" t="n">
        <v>76</v>
      </c>
    </row>
    <row r="91" customFormat="false" ht="15" hidden="false" customHeight="false" outlineLevel="0" collapsed="false">
      <c r="B91" s="22" t="s">
        <v>263</v>
      </c>
      <c r="C91" s="25" t="n">
        <f aca="false">C88/76</f>
        <v>0.407894736842105</v>
      </c>
      <c r="D91" s="25" t="n">
        <f aca="false">D88/76</f>
        <v>0.973684210526316</v>
      </c>
    </row>
  </sheetData>
  <mergeCells count="9">
    <mergeCell ref="A2:E2"/>
    <mergeCell ref="A16:E16"/>
    <mergeCell ref="A24:E24"/>
    <mergeCell ref="A32:E32"/>
    <mergeCell ref="A48:E48"/>
    <mergeCell ref="A57:E57"/>
    <mergeCell ref="A66:E66"/>
    <mergeCell ref="A75:E75"/>
    <mergeCell ref="A82:E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2026-05-08T17:28:49Z</dcterms:created>
  <dc:creator>openpyxl</dc:creator>
  <dc:description/>
  <dc:language>en-US</dc:language>
  <cp:lastModifiedBy/>
  <dcterms:modified xsi:type="dcterms:W3CDTF">2026-05-08T17:28:49Z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